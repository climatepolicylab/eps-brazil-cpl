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land\BLAPE\"/>
    </mc:Choice>
  </mc:AlternateContent>
  <bookViews>
    <workbookView xWindow="0" yWindow="765" windowWidth="34200" windowHeight="21375" firstSheet="3" activeTab="4"/>
  </bookViews>
  <sheets>
    <sheet name="About" sheetId="1" r:id="rId1"/>
    <sheet name="Data" sheetId="6" r:id="rId2"/>
    <sheet name="data from RPEpUACE" sheetId="7" r:id="rId3"/>
    <sheet name="Share of Pollutants" sheetId="3" r:id="rId4"/>
    <sheet name="EPE-Land use emissions" sheetId="10" r:id="rId5"/>
    <sheet name="Emissions by Pollutants" sheetId="8" r:id="rId6"/>
    <sheet name="BLAPE" sheetId="9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10" l="1"/>
  <c r="B23" i="10" l="1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24" i="10"/>
  <c r="A23" i="10"/>
  <c r="C17" i="10"/>
  <c r="C24" i="10" s="1"/>
  <c r="D17" i="10"/>
  <c r="D24" i="10" s="1"/>
  <c r="B17" i="10"/>
  <c r="B24" i="10" s="1"/>
  <c r="B25" i="10" s="1"/>
  <c r="B26" i="10" s="1"/>
  <c r="B2" i="8" s="1"/>
  <c r="D8" i="10"/>
  <c r="D12" i="10" s="1"/>
  <c r="L17" i="10" s="1"/>
  <c r="E8" i="10"/>
  <c r="F8" i="10"/>
  <c r="G8" i="10"/>
  <c r="H8" i="10"/>
  <c r="C8" i="10"/>
  <c r="C12" i="10"/>
  <c r="E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F3" i="10"/>
  <c r="B7" i="8" l="1"/>
  <c r="B6" i="8"/>
  <c r="B5" i="8"/>
  <c r="C25" i="10"/>
  <c r="C26" i="10" s="1"/>
  <c r="C2" i="8" s="1"/>
  <c r="E12" i="10"/>
  <c r="Q17" i="10" s="1"/>
  <c r="Q24" i="10" s="1"/>
  <c r="G17" i="10"/>
  <c r="J17" i="10" s="1"/>
  <c r="J24" i="10" s="1"/>
  <c r="O17" i="10"/>
  <c r="O24" i="10" s="1"/>
  <c r="M17" i="10"/>
  <c r="M24" i="10" s="1"/>
  <c r="L24" i="10"/>
  <c r="E17" i="10"/>
  <c r="E24" i="10" s="1"/>
  <c r="G24" i="10"/>
  <c r="K17" i="10"/>
  <c r="K24" i="10" s="1"/>
  <c r="H12" i="10"/>
  <c r="AF17" i="10" s="1"/>
  <c r="AF24" i="10" s="1"/>
  <c r="G12" i="10"/>
  <c r="AA17" i="10" s="1"/>
  <c r="F12" i="10"/>
  <c r="V17" i="10" s="1"/>
  <c r="F17" i="10" l="1"/>
  <c r="F24" i="10" s="1"/>
  <c r="R17" i="10"/>
  <c r="R24" i="10" s="1"/>
  <c r="H17" i="10"/>
  <c r="H24" i="10" s="1"/>
  <c r="I17" i="10"/>
  <c r="I24" i="10" s="1"/>
  <c r="N17" i="10"/>
  <c r="N24" i="10" s="1"/>
  <c r="P17" i="10"/>
  <c r="P24" i="10" s="1"/>
  <c r="C5" i="8"/>
  <c r="C7" i="8"/>
  <c r="C6" i="8"/>
  <c r="D25" i="10"/>
  <c r="D26" i="10" s="1"/>
  <c r="D2" i="8" s="1"/>
  <c r="S17" i="10"/>
  <c r="S24" i="10" s="1"/>
  <c r="U17" i="10"/>
  <c r="U24" i="10" s="1"/>
  <c r="AA24" i="10"/>
  <c r="AC17" i="10"/>
  <c r="AC24" i="10" s="1"/>
  <c r="AD17" i="10"/>
  <c r="AD24" i="10" s="1"/>
  <c r="AE17" i="10"/>
  <c r="AE24" i="10" s="1"/>
  <c r="AB17" i="10"/>
  <c r="AB24" i="10" s="1"/>
  <c r="Y17" i="10"/>
  <c r="Y24" i="10" s="1"/>
  <c r="Z17" i="10"/>
  <c r="Z24" i="10" s="1"/>
  <c r="V24" i="10"/>
  <c r="W17" i="10"/>
  <c r="W24" i="10" s="1"/>
  <c r="X17" i="10"/>
  <c r="X24" i="10" s="1"/>
  <c r="T17" i="10"/>
  <c r="T24" i="10" s="1"/>
  <c r="B19" i="8"/>
  <c r="B12" i="9" s="1"/>
  <c r="C19" i="8"/>
  <c r="C12" i="9" s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B19" i="3"/>
  <c r="B18" i="3"/>
  <c r="B11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B16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B14" i="3"/>
  <c r="AE12" i="3"/>
  <c r="AD12" i="3"/>
  <c r="AC12" i="3"/>
  <c r="AB12" i="3"/>
  <c r="AA12" i="3"/>
  <c r="X12" i="3"/>
  <c r="W12" i="3"/>
  <c r="V12" i="3"/>
  <c r="U12" i="3"/>
  <c r="T12" i="3"/>
  <c r="S12" i="3"/>
  <c r="R12" i="3"/>
  <c r="Q12" i="3"/>
  <c r="O12" i="3"/>
  <c r="N12" i="3"/>
  <c r="M12" i="3"/>
  <c r="L12" i="3"/>
  <c r="K12" i="3"/>
  <c r="H12" i="3"/>
  <c r="G12" i="3"/>
  <c r="F12" i="3"/>
  <c r="E12" i="3"/>
  <c r="D12" i="3"/>
  <c r="C12" i="3"/>
  <c r="B12" i="3"/>
  <c r="AF11" i="3"/>
  <c r="AD11" i="3"/>
  <c r="AC11" i="3"/>
  <c r="AB11" i="3"/>
  <c r="AA11" i="3"/>
  <c r="Z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H11" i="3"/>
  <c r="G11" i="3"/>
  <c r="F11" i="3"/>
  <c r="E11" i="3"/>
  <c r="D11" i="3"/>
  <c r="C11" i="3"/>
  <c r="AF2" i="3"/>
  <c r="AF12" i="3" s="1"/>
  <c r="AE2" i="3"/>
  <c r="AE11" i="3" s="1"/>
  <c r="AD2" i="3"/>
  <c r="AC2" i="3"/>
  <c r="AB2" i="3"/>
  <c r="AA2" i="3"/>
  <c r="Z2" i="3"/>
  <c r="Z12" i="3" s="1"/>
  <c r="Y2" i="3"/>
  <c r="Y11" i="3" s="1"/>
  <c r="X2" i="3"/>
  <c r="W2" i="3"/>
  <c r="V2" i="3"/>
  <c r="U2" i="3"/>
  <c r="T2" i="3"/>
  <c r="S2" i="3"/>
  <c r="R2" i="3"/>
  <c r="Q2" i="3"/>
  <c r="P2" i="3"/>
  <c r="P12" i="3" s="1"/>
  <c r="O2" i="3"/>
  <c r="O11" i="3" s="1"/>
  <c r="N2" i="3"/>
  <c r="M2" i="3"/>
  <c r="L2" i="3"/>
  <c r="K2" i="3"/>
  <c r="J2" i="3"/>
  <c r="J12" i="3" s="1"/>
  <c r="I2" i="3"/>
  <c r="I11" i="3" s="1"/>
  <c r="H2" i="3"/>
  <c r="G2" i="3"/>
  <c r="F2" i="3"/>
  <c r="E2" i="3"/>
  <c r="D2" i="3"/>
  <c r="C2" i="3"/>
  <c r="B2" i="3"/>
  <c r="J13" i="6"/>
  <c r="J16" i="6" s="1"/>
  <c r="D5" i="8" l="1"/>
  <c r="D7" i="8"/>
  <c r="D19" i="8" s="1"/>
  <c r="D12" i="9" s="1"/>
  <c r="D6" i="8"/>
  <c r="D18" i="8" s="1"/>
  <c r="D11" i="9" s="1"/>
  <c r="E25" i="10"/>
  <c r="C18" i="8"/>
  <c r="C11" i="9" s="1"/>
  <c r="B17" i="8"/>
  <c r="B2" i="9" s="1"/>
  <c r="B18" i="8"/>
  <c r="B11" i="9" s="1"/>
  <c r="D17" i="8"/>
  <c r="D2" i="9" s="1"/>
  <c r="C17" i="8"/>
  <c r="C2" i="9" s="1"/>
  <c r="B17" i="3"/>
  <c r="I12" i="3"/>
  <c r="Y12" i="3"/>
  <c r="E26" i="10" l="1"/>
  <c r="E2" i="8" s="1"/>
  <c r="F25" i="10"/>
  <c r="F26" i="10" l="1"/>
  <c r="F2" i="8" s="1"/>
  <c r="G25" i="10"/>
  <c r="E6" i="8"/>
  <c r="E18" i="8" s="1"/>
  <c r="E11" i="9" s="1"/>
  <c r="E5" i="8"/>
  <c r="E17" i="8" s="1"/>
  <c r="E2" i="9" s="1"/>
  <c r="E7" i="8"/>
  <c r="E19" i="8" s="1"/>
  <c r="E12" i="9" s="1"/>
  <c r="G26" i="10" l="1"/>
  <c r="G2" i="8" s="1"/>
  <c r="H25" i="10"/>
  <c r="F6" i="8"/>
  <c r="F18" i="8" s="1"/>
  <c r="F11" i="9" s="1"/>
  <c r="F5" i="8"/>
  <c r="F17" i="8" s="1"/>
  <c r="F2" i="9" s="1"/>
  <c r="F7" i="8"/>
  <c r="F19" i="8" s="1"/>
  <c r="F12" i="9" s="1"/>
  <c r="H26" i="10" l="1"/>
  <c r="H2" i="8" s="1"/>
  <c r="I25" i="10"/>
  <c r="G7" i="8"/>
  <c r="G19" i="8" s="1"/>
  <c r="G12" i="9" s="1"/>
  <c r="G6" i="8"/>
  <c r="G18" i="8" s="1"/>
  <c r="G11" i="9" s="1"/>
  <c r="G5" i="8"/>
  <c r="G17" i="8" s="1"/>
  <c r="G2" i="9" s="1"/>
  <c r="I26" i="10" l="1"/>
  <c r="I2" i="8" s="1"/>
  <c r="J25" i="10"/>
  <c r="H7" i="8"/>
  <c r="H19" i="8" s="1"/>
  <c r="H12" i="9" s="1"/>
  <c r="H6" i="8"/>
  <c r="H18" i="8" s="1"/>
  <c r="H11" i="9" s="1"/>
  <c r="H5" i="8"/>
  <c r="H17" i="8" s="1"/>
  <c r="H2" i="9" s="1"/>
  <c r="J26" i="10" l="1"/>
  <c r="J2" i="8" s="1"/>
  <c r="K25" i="10"/>
  <c r="I7" i="8"/>
  <c r="I19" i="8" s="1"/>
  <c r="I12" i="9" s="1"/>
  <c r="I6" i="8"/>
  <c r="I18" i="8" s="1"/>
  <c r="I11" i="9" s="1"/>
  <c r="I5" i="8"/>
  <c r="I17" i="8" s="1"/>
  <c r="I2" i="9" s="1"/>
  <c r="L25" i="10" l="1"/>
  <c r="K26" i="10"/>
  <c r="K2" i="8" s="1"/>
  <c r="J7" i="8"/>
  <c r="J19" i="8" s="1"/>
  <c r="J12" i="9" s="1"/>
  <c r="J6" i="8"/>
  <c r="J18" i="8" s="1"/>
  <c r="J11" i="9" s="1"/>
  <c r="J5" i="8"/>
  <c r="J17" i="8" s="1"/>
  <c r="J2" i="9" s="1"/>
  <c r="K5" i="8" l="1"/>
  <c r="K17" i="8" s="1"/>
  <c r="K2" i="9" s="1"/>
  <c r="K7" i="8"/>
  <c r="K19" i="8" s="1"/>
  <c r="K12" i="9" s="1"/>
  <c r="K6" i="8"/>
  <c r="K18" i="8" s="1"/>
  <c r="K11" i="9" s="1"/>
  <c r="L26" i="10"/>
  <c r="L2" i="8" s="1"/>
  <c r="M25" i="10"/>
  <c r="M26" i="10" l="1"/>
  <c r="M2" i="8" s="1"/>
  <c r="N25" i="10"/>
  <c r="L5" i="8"/>
  <c r="L17" i="8" s="1"/>
  <c r="L2" i="9" s="1"/>
  <c r="L7" i="8"/>
  <c r="L19" i="8" s="1"/>
  <c r="L12" i="9" s="1"/>
  <c r="L6" i="8"/>
  <c r="L18" i="8" s="1"/>
  <c r="L11" i="9" s="1"/>
  <c r="O25" i="10" l="1"/>
  <c r="N26" i="10"/>
  <c r="N2" i="8" s="1"/>
  <c r="M6" i="8"/>
  <c r="M18" i="8" s="1"/>
  <c r="M11" i="9" s="1"/>
  <c r="M5" i="8"/>
  <c r="M17" i="8" s="1"/>
  <c r="M2" i="9" s="1"/>
  <c r="M7" i="8"/>
  <c r="M19" i="8" s="1"/>
  <c r="M12" i="9" s="1"/>
  <c r="N6" i="8" l="1"/>
  <c r="N18" i="8" s="1"/>
  <c r="N11" i="9" s="1"/>
  <c r="N5" i="8"/>
  <c r="N17" i="8" s="1"/>
  <c r="N2" i="9" s="1"/>
  <c r="N7" i="8"/>
  <c r="N19" i="8" s="1"/>
  <c r="N12" i="9" s="1"/>
  <c r="P25" i="10"/>
  <c r="O26" i="10"/>
  <c r="O2" i="8" s="1"/>
  <c r="P26" i="10" l="1"/>
  <c r="P2" i="8" s="1"/>
  <c r="Q25" i="10"/>
  <c r="O7" i="8"/>
  <c r="O19" i="8" s="1"/>
  <c r="O12" i="9" s="1"/>
  <c r="O6" i="8"/>
  <c r="O18" i="8" s="1"/>
  <c r="O11" i="9" s="1"/>
  <c r="O5" i="8"/>
  <c r="O17" i="8" s="1"/>
  <c r="O2" i="9" s="1"/>
  <c r="R25" i="10" l="1"/>
  <c r="Q26" i="10"/>
  <c r="Q2" i="8" s="1"/>
  <c r="P7" i="8"/>
  <c r="P19" i="8" s="1"/>
  <c r="P12" i="9" s="1"/>
  <c r="P6" i="8"/>
  <c r="P18" i="8" s="1"/>
  <c r="P11" i="9" s="1"/>
  <c r="P5" i="8"/>
  <c r="P17" i="8" s="1"/>
  <c r="P2" i="9" s="1"/>
  <c r="Q7" i="8" l="1"/>
  <c r="Q19" i="8" s="1"/>
  <c r="Q12" i="9" s="1"/>
  <c r="Q6" i="8"/>
  <c r="Q18" i="8" s="1"/>
  <c r="Q11" i="9" s="1"/>
  <c r="Q5" i="8"/>
  <c r="Q17" i="8" s="1"/>
  <c r="Q2" i="9" s="1"/>
  <c r="S25" i="10"/>
  <c r="R26" i="10"/>
  <c r="R2" i="8" s="1"/>
  <c r="R7" i="8" l="1"/>
  <c r="R19" i="8" s="1"/>
  <c r="R12" i="9" s="1"/>
  <c r="R6" i="8"/>
  <c r="R18" i="8" s="1"/>
  <c r="R11" i="9" s="1"/>
  <c r="R5" i="8"/>
  <c r="R17" i="8" s="1"/>
  <c r="R2" i="9" s="1"/>
  <c r="S26" i="10"/>
  <c r="S2" i="8" s="1"/>
  <c r="T25" i="10"/>
  <c r="U25" i="10" l="1"/>
  <c r="T26" i="10"/>
  <c r="T2" i="8" s="1"/>
  <c r="S5" i="8"/>
  <c r="S17" i="8" s="1"/>
  <c r="S2" i="9" s="1"/>
  <c r="S7" i="8"/>
  <c r="S19" i="8" s="1"/>
  <c r="S12" i="9" s="1"/>
  <c r="S6" i="8"/>
  <c r="S18" i="8" s="1"/>
  <c r="S11" i="9" s="1"/>
  <c r="T5" i="8" l="1"/>
  <c r="T17" i="8" s="1"/>
  <c r="T2" i="9" s="1"/>
  <c r="T7" i="8"/>
  <c r="T19" i="8" s="1"/>
  <c r="T12" i="9" s="1"/>
  <c r="T6" i="8"/>
  <c r="T18" i="8" s="1"/>
  <c r="T11" i="9" s="1"/>
  <c r="V25" i="10"/>
  <c r="U26" i="10"/>
  <c r="U2" i="8" s="1"/>
  <c r="U6" i="8" l="1"/>
  <c r="U18" i="8" s="1"/>
  <c r="U11" i="9" s="1"/>
  <c r="U5" i="8"/>
  <c r="U17" i="8" s="1"/>
  <c r="U2" i="9" s="1"/>
  <c r="U7" i="8"/>
  <c r="U19" i="8" s="1"/>
  <c r="U12" i="9" s="1"/>
  <c r="W25" i="10"/>
  <c r="V26" i="10"/>
  <c r="V2" i="8" s="1"/>
  <c r="V6" i="8" l="1"/>
  <c r="V18" i="8" s="1"/>
  <c r="V11" i="9" s="1"/>
  <c r="V5" i="8"/>
  <c r="V17" i="8" s="1"/>
  <c r="V2" i="9" s="1"/>
  <c r="V7" i="8"/>
  <c r="V19" i="8" s="1"/>
  <c r="V12" i="9" s="1"/>
  <c r="W26" i="10"/>
  <c r="W2" i="8" s="1"/>
  <c r="X25" i="10"/>
  <c r="Y25" i="10" l="1"/>
  <c r="X26" i="10"/>
  <c r="X2" i="8" s="1"/>
  <c r="W7" i="8"/>
  <c r="W19" i="8" s="1"/>
  <c r="W12" i="9" s="1"/>
  <c r="W6" i="8"/>
  <c r="W18" i="8" s="1"/>
  <c r="W11" i="9" s="1"/>
  <c r="W5" i="8"/>
  <c r="W17" i="8" s="1"/>
  <c r="W2" i="9" s="1"/>
  <c r="X7" i="8" l="1"/>
  <c r="X19" i="8" s="1"/>
  <c r="X12" i="9" s="1"/>
  <c r="X6" i="8"/>
  <c r="X18" i="8" s="1"/>
  <c r="X11" i="9" s="1"/>
  <c r="X5" i="8"/>
  <c r="X17" i="8" s="1"/>
  <c r="X2" i="9" s="1"/>
  <c r="Z25" i="10"/>
  <c r="Y26" i="10"/>
  <c r="Y2" i="8" s="1"/>
  <c r="Y7" i="8" l="1"/>
  <c r="Y19" i="8" s="1"/>
  <c r="Y12" i="9" s="1"/>
  <c r="Y6" i="8"/>
  <c r="Y18" i="8" s="1"/>
  <c r="Y11" i="9" s="1"/>
  <c r="Y5" i="8"/>
  <c r="Y17" i="8" s="1"/>
  <c r="Y2" i="9" s="1"/>
  <c r="AA25" i="10"/>
  <c r="Z26" i="10"/>
  <c r="Z2" i="8" s="1"/>
  <c r="Z7" i="8" l="1"/>
  <c r="Z19" i="8" s="1"/>
  <c r="Z12" i="9" s="1"/>
  <c r="Z6" i="8"/>
  <c r="Z18" i="8" s="1"/>
  <c r="Z11" i="9" s="1"/>
  <c r="Z5" i="8"/>
  <c r="Z17" i="8" s="1"/>
  <c r="Z2" i="9" s="1"/>
  <c r="AA26" i="10"/>
  <c r="AA2" i="8" s="1"/>
  <c r="AB25" i="10"/>
  <c r="AC25" i="10" l="1"/>
  <c r="AB26" i="10"/>
  <c r="AB2" i="8" s="1"/>
  <c r="AA5" i="8"/>
  <c r="AA17" i="8" s="1"/>
  <c r="AA2" i="9" s="1"/>
  <c r="AA7" i="8"/>
  <c r="AA19" i="8" s="1"/>
  <c r="AA12" i="9" s="1"/>
  <c r="AA6" i="8"/>
  <c r="AA18" i="8" s="1"/>
  <c r="AA11" i="9" s="1"/>
  <c r="AB5" i="8" l="1"/>
  <c r="AB17" i="8" s="1"/>
  <c r="AB2" i="9" s="1"/>
  <c r="AB7" i="8"/>
  <c r="AB19" i="8" s="1"/>
  <c r="AB12" i="9" s="1"/>
  <c r="AB6" i="8"/>
  <c r="AB18" i="8" s="1"/>
  <c r="AB11" i="9" s="1"/>
  <c r="AC26" i="10"/>
  <c r="AC2" i="8" s="1"/>
  <c r="AD25" i="10"/>
  <c r="AD26" i="10" l="1"/>
  <c r="AD2" i="8" s="1"/>
  <c r="AE25" i="10"/>
  <c r="AC6" i="8"/>
  <c r="AC18" i="8" s="1"/>
  <c r="AC11" i="9" s="1"/>
  <c r="AC5" i="8"/>
  <c r="AC17" i="8" s="1"/>
  <c r="AC2" i="9" s="1"/>
  <c r="AC7" i="8"/>
  <c r="AC19" i="8" s="1"/>
  <c r="AC12" i="9" s="1"/>
  <c r="AF25" i="10" l="1"/>
  <c r="AF26" i="10" s="1"/>
  <c r="AF2" i="8" s="1"/>
  <c r="AE26" i="10"/>
  <c r="AE2" i="8" s="1"/>
  <c r="AD6" i="8"/>
  <c r="AD18" i="8" s="1"/>
  <c r="AD11" i="9" s="1"/>
  <c r="AD5" i="8"/>
  <c r="AD17" i="8" s="1"/>
  <c r="AD2" i="9" s="1"/>
  <c r="AD7" i="8"/>
  <c r="AD19" i="8" s="1"/>
  <c r="AD12" i="9" s="1"/>
  <c r="AE7" i="8" l="1"/>
  <c r="AE19" i="8" s="1"/>
  <c r="AE12" i="9" s="1"/>
  <c r="AE6" i="8"/>
  <c r="AE18" i="8" s="1"/>
  <c r="AE11" i="9" s="1"/>
  <c r="AE5" i="8"/>
  <c r="AE17" i="8" s="1"/>
  <c r="AE2" i="9" s="1"/>
  <c r="AF7" i="8"/>
  <c r="AF19" i="8" s="1"/>
  <c r="AF12" i="9" s="1"/>
  <c r="AF6" i="8"/>
  <c r="AF18" i="8" s="1"/>
  <c r="AF11" i="9" s="1"/>
  <c r="AF5" i="8"/>
  <c r="AF17" i="8" s="1"/>
  <c r="AF2" i="9" s="1"/>
</calcChain>
</file>

<file path=xl/sharedStrings.xml><?xml version="1.0" encoding="utf-8"?>
<sst xmlns="http://schemas.openxmlformats.org/spreadsheetml/2006/main" count="104" uniqueCount="76">
  <si>
    <t>Source:</t>
  </si>
  <si>
    <t>Year</t>
  </si>
  <si>
    <t>Notes</t>
  </si>
  <si>
    <t>BLAPE BAU LULUCF Anthropogenic Pollutant Emissions</t>
  </si>
  <si>
    <t>F gases (g CO2e)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</si>
  <si>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</si>
  <si>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</si>
  <si>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</si>
  <si>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</si>
  <si>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</si>
  <si>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</si>
  <si>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</si>
  <si>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</si>
  <si>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</si>
  <si>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</si>
  <si>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</si>
  <si>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CO2</t>
  </si>
  <si>
    <t>CH4</t>
  </si>
  <si>
    <t>N2O</t>
  </si>
  <si>
    <t>CH4 GWP</t>
  </si>
  <si>
    <t>N2O GWP</t>
  </si>
  <si>
    <t>CO2 Emission</t>
  </si>
  <si>
    <t>Brazilian Ministry of Science, Technology, Innovation and Communication (MCTIC)</t>
  </si>
  <si>
    <t>Report: "Quarta Comunicação Nacional e Relatórios De Atualização Bienal Do Brasil à Convenção-Quadro das Nações Unidas Sobre Mudança do Clima"</t>
  </si>
  <si>
    <t>Version: "Relatório de referência para consulta pública - LULUCF"</t>
  </si>
  <si>
    <t>http://antigo.mctic.gov.br/mctic/opencms/ciencia/SEPED/clima/Comunicacao_Nacional/Comunicacao_Nacional.html</t>
  </si>
  <si>
    <t>Rebound CH4 and N2O Emissions</t>
  </si>
  <si>
    <t>See land/RPEpUACE</t>
  </si>
  <si>
    <t>Projected pollutant emissions data for the land use sector until 2050.</t>
  </si>
  <si>
    <t>In "BLAPE" table, for CH4 and N2O calculation, the signal (-) has been changed to (+) as in Brazil CO2 emission</t>
  </si>
  <si>
    <t>from LULUCF is positive.</t>
  </si>
  <si>
    <t>For the Land sector for Brazil, emissions and removals (net emissions) associated with</t>
  </si>
  <si>
    <t>land use transitions related to deforestation are accounted for.</t>
  </si>
  <si>
    <t xml:space="preserve">For this, data from the Fourth National Communication were used, </t>
  </si>
  <si>
    <t>which presents the annualized biome emissions, the most recent database available.</t>
  </si>
  <si>
    <t xml:space="preserve">From this database, an average was calculated, </t>
  </si>
  <si>
    <t>based on the estimated emissions for the sector between the years 2010 and 2016.</t>
  </si>
  <si>
    <t>This value was considered as a trend for the entire projection period of the scenario BAU.</t>
  </si>
  <si>
    <t>Period</t>
  </si>
  <si>
    <t>Average</t>
  </si>
  <si>
    <t>Emissions (Gg)</t>
  </si>
  <si>
    <t>(g)</t>
  </si>
  <si>
    <t>Rebound Emis Factor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</si>
  <si>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</si>
  <si>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</si>
  <si>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</si>
  <si>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</si>
  <si>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</si>
  <si>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</si>
  <si>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</si>
  <si>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</si>
  <si>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</si>
  <si>
    <t>Share</t>
  </si>
  <si>
    <t>Total</t>
  </si>
  <si>
    <t>Share of CO2 (g)</t>
  </si>
  <si>
    <t>Share of CH4 (g)</t>
  </si>
  <si>
    <t>Share of N2O (g)</t>
  </si>
  <si>
    <t>CO2 (g CO2e)</t>
  </si>
  <si>
    <t>CH4 (g Co2e)</t>
  </si>
  <si>
    <t>N2O(g CO2e)</t>
  </si>
  <si>
    <t>Global Warming Potential</t>
  </si>
  <si>
    <t>CO2e</t>
  </si>
  <si>
    <t>CO2 (g pollutant)</t>
  </si>
  <si>
    <t>CH4 (g pollutant)</t>
  </si>
  <si>
    <t>N2O (g pollutant)</t>
  </si>
  <si>
    <t>LULUCF Emissions-Smoothing (g CO2e)</t>
  </si>
  <si>
    <t>EPE</t>
  </si>
  <si>
    <t>Land use emissions (Mt CO2e)</t>
  </si>
  <si>
    <t>MOSTI</t>
  </si>
  <si>
    <t>Growth rate</t>
  </si>
  <si>
    <t>Hypothèses</t>
  </si>
  <si>
    <t>Alpha MMA (α)</t>
  </si>
  <si>
    <t>EPE-smoothing</t>
  </si>
  <si>
    <t>Land use emissions - smoothing (Mt CO2e)</t>
  </si>
  <si>
    <t>Mt CO2e to g CO2e</t>
  </si>
  <si>
    <t>Land use emissions - smoothing (g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</si>
</sst>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#,##0.000"/>
    <numFmt numFmtId="166" formatCode="0.000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7F6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2CC"/>
        <bgColor rgb="FFFCE5C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C0"/>
      </left>
      <right style="thin">
        <color rgb="FFBFBFC0"/>
      </right>
      <top style="thin">
        <color rgb="FFBFBFC0"/>
      </top>
      <bottom style="thin">
        <color rgb="FFBFBFC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167" fontId="0" fillId="0" borderId="0" xfId="2" applyNumberFormat="1" applyFont="1"/>
    <xf numFmtId="0" fontId="0" fillId="0" borderId="0" xfId="0" applyAlignment="1">
      <alignment horizontal="right"/>
    </xf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" fontId="3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8" fillId="5" borderId="2" xfId="0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7" fillId="5" borderId="2" xfId="0" applyFont="1" applyFill="1" applyBorder="1" applyAlignment="1">
      <alignment horizontal="center"/>
    </xf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Land-use emissions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'EPE-Land use emissions'!$A$24</c:f>
              <c:strCache>
                <c:ptCount val="1"/>
                <c:pt idx="0">
                  <c:v>Land use emissions (Mt CO2e)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'EPE-Land use emissions'!$B$23:$AF$23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'EPE-Land use emissions'!$B$24:$AF$24</c:f>
              <c:numCache>
                <c:formatCode>General</c:formatCode>
                <c:ptCount val="31"/>
                <c:pt idx="0">
                  <c:v>665.08399999999995</c:v>
                </c:pt>
                <c:pt idx="1">
                  <c:v>882.47799999999995</c:v>
                </c:pt>
                <c:pt idx="2">
                  <c:v>805.69399999999996</c:v>
                </c:pt>
                <c:pt idx="3">
                  <c:v>806.72664032959744</c:v>
                </c:pt>
                <c:pt idx="4">
                  <c:v>807.75928065919481</c:v>
                </c:pt>
                <c:pt idx="5">
                  <c:v>808.7919209887923</c:v>
                </c:pt>
                <c:pt idx="6">
                  <c:v>810.70294745777267</c:v>
                </c:pt>
                <c:pt idx="7">
                  <c:v>812.61397392675303</c:v>
                </c:pt>
                <c:pt idx="8">
                  <c:v>814.52500039573329</c:v>
                </c:pt>
                <c:pt idx="9">
                  <c:v>816.43602686471365</c:v>
                </c:pt>
                <c:pt idx="10">
                  <c:v>818.34705333369402</c:v>
                </c:pt>
                <c:pt idx="11">
                  <c:v>822.79303483134242</c:v>
                </c:pt>
                <c:pt idx="12">
                  <c:v>827.23901632899072</c:v>
                </c:pt>
                <c:pt idx="13">
                  <c:v>831.68499782663912</c:v>
                </c:pt>
                <c:pt idx="14">
                  <c:v>836.13097932428741</c:v>
                </c:pt>
                <c:pt idx="15">
                  <c:v>840.57696082193581</c:v>
                </c:pt>
                <c:pt idx="16">
                  <c:v>846.18446970114098</c:v>
                </c:pt>
                <c:pt idx="17">
                  <c:v>851.79197858034615</c:v>
                </c:pt>
                <c:pt idx="18">
                  <c:v>857.39948745955144</c:v>
                </c:pt>
                <c:pt idx="19">
                  <c:v>863.00699633875661</c:v>
                </c:pt>
                <c:pt idx="20">
                  <c:v>868.61450521796178</c:v>
                </c:pt>
                <c:pt idx="21">
                  <c:v>868.77931653561507</c:v>
                </c:pt>
                <c:pt idx="22">
                  <c:v>868.94412785326847</c:v>
                </c:pt>
                <c:pt idx="23">
                  <c:v>869.10893917092176</c:v>
                </c:pt>
                <c:pt idx="24">
                  <c:v>869.27375048857516</c:v>
                </c:pt>
                <c:pt idx="25">
                  <c:v>869.43856180622845</c:v>
                </c:pt>
                <c:pt idx="26">
                  <c:v>873.42542606184247</c:v>
                </c:pt>
                <c:pt idx="27">
                  <c:v>877.41229031745661</c:v>
                </c:pt>
                <c:pt idx="28">
                  <c:v>881.39915457307063</c:v>
                </c:pt>
                <c:pt idx="29">
                  <c:v>885.38601882868477</c:v>
                </c:pt>
                <c:pt idx="30">
                  <c:v>889.37288308429879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'EPE-Land use emissions'!$A$25</c:f>
              <c:strCache>
                <c:ptCount val="1"/>
                <c:pt idx="0">
                  <c:v>Land use emissions - smoothing (Mt CO2e)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'EPE-Land use emissions'!$B$23:$AF$23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'EPE-Land use emissions'!$B$25:$AF$25</c:f>
              <c:numCache>
                <c:formatCode>General</c:formatCode>
                <c:ptCount val="31"/>
                <c:pt idx="0">
                  <c:v>665.08399999999995</c:v>
                </c:pt>
                <c:pt idx="1">
                  <c:v>730.30219999999986</c:v>
                </c:pt>
                <c:pt idx="2">
                  <c:v>752.91973999999982</c:v>
                </c:pt>
                <c:pt idx="3">
                  <c:v>769.06181009887905</c:v>
                </c:pt>
                <c:pt idx="4">
                  <c:v>780.67105126697368</c:v>
                </c:pt>
                <c:pt idx="5">
                  <c:v>789.10731218351918</c:v>
                </c:pt>
                <c:pt idx="6">
                  <c:v>795.58600276579523</c:v>
                </c:pt>
                <c:pt idx="7">
                  <c:v>800.69439411408257</c:v>
                </c:pt>
                <c:pt idx="8">
                  <c:v>804.84357599857765</c:v>
                </c:pt>
                <c:pt idx="9">
                  <c:v>808.3213112584184</c:v>
                </c:pt>
                <c:pt idx="10">
                  <c:v>811.32903388100101</c:v>
                </c:pt>
                <c:pt idx="11">
                  <c:v>814.76823416610341</c:v>
                </c:pt>
                <c:pt idx="12">
                  <c:v>818.50946881496952</c:v>
                </c:pt>
                <c:pt idx="13">
                  <c:v>822.46212751847042</c:v>
                </c:pt>
                <c:pt idx="14">
                  <c:v>826.56278306021545</c:v>
                </c:pt>
                <c:pt idx="15">
                  <c:v>830.76703638873153</c:v>
                </c:pt>
                <c:pt idx="16">
                  <c:v>835.3922663824543</c:v>
                </c:pt>
                <c:pt idx="17">
                  <c:v>840.31218004182188</c:v>
                </c:pt>
                <c:pt idx="18">
                  <c:v>845.43837226714072</c:v>
                </c:pt>
                <c:pt idx="19">
                  <c:v>850.7089594886254</c:v>
                </c:pt>
                <c:pt idx="20">
                  <c:v>856.08062320742624</c:v>
                </c:pt>
                <c:pt idx="21">
                  <c:v>859.89023120588286</c:v>
                </c:pt>
                <c:pt idx="22">
                  <c:v>862.60640020009851</c:v>
                </c:pt>
                <c:pt idx="23">
                  <c:v>864.55716189134546</c:v>
                </c:pt>
                <c:pt idx="24">
                  <c:v>865.97213847051432</c:v>
                </c:pt>
                <c:pt idx="25">
                  <c:v>867.01206547122842</c:v>
                </c:pt>
                <c:pt idx="26">
                  <c:v>868.9360736484125</c:v>
                </c:pt>
                <c:pt idx="27">
                  <c:v>871.47893864912567</c:v>
                </c:pt>
                <c:pt idx="28">
                  <c:v>874.45500342630908</c:v>
                </c:pt>
                <c:pt idx="29">
                  <c:v>877.73430804702184</c:v>
                </c:pt>
                <c:pt idx="30">
                  <c:v>881.22588055820484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690525136"/>
        <c:axId val="-690522960"/>
      </c:lineChart>
      <c:catAx>
        <c:axId val="-69052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90522960"/>
        <c:crosses val="autoZero"/>
        <c:auto val="1"/>
        <c:lblAlgn val="ctr"/>
        <c:lblOffset val="100"/>
        <c:noMultiLvlLbl val="0"/>
      </c:catAx>
      <c:valAx>
        <c:axId val="-6905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9052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28</xdr:row>
      <xdr:rowOff>14287</xdr:rowOff>
    </xdr:from>
    <xdr:to>
      <xdr:col>8</xdr:col>
      <xdr:colOff>742950</xdr:colOff>
      <xdr:row>42</xdr:row>
      <xdr:rowOff>161925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ntigo.mctic.gov.br/mctic/opencms/ciencia/SEPED/clima/Comunicacao_Nacional/Comunicacao_Nacional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opLeftCell="A7" workbookViewId="0">
      <selection activeCell="A18" sqref="A18:A21"/>
    </sheetView>
  </sheetViews>
  <sheetFormatPr baseColWidth="10" defaultColWidth="8.85546875" defaultRowHeight="15" x14ac:dyDescent="0.25"/>
  <cols>
    <col min="1" max="1" width="9.28515625" customWidth="1"/>
    <col min="2" max="2" width="51.7109375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5" t="s">
        <v>21</v>
      </c>
    </row>
    <row r="4" spans="1:2" x14ac:dyDescent="0.25">
      <c r="B4" t="s">
        <v>22</v>
      </c>
    </row>
    <row r="5" spans="1:2" x14ac:dyDescent="0.25">
      <c r="B5" s="4">
        <v>2020</v>
      </c>
    </row>
    <row r="6" spans="1:2" x14ac:dyDescent="0.25">
      <c r="B6" t="s">
        <v>23</v>
      </c>
    </row>
    <row r="7" spans="1:2" x14ac:dyDescent="0.25">
      <c r="B7" t="s">
        <v>24</v>
      </c>
    </row>
    <row r="8" spans="1:2" x14ac:dyDescent="0.25">
      <c r="B8" s="2" t="s">
        <v>25</v>
      </c>
    </row>
    <row r="10" spans="1:2" x14ac:dyDescent="0.25">
      <c r="B10" s="5" t="s">
        <v>26</v>
      </c>
    </row>
    <row r="11" spans="1:2" x14ac:dyDescent="0.25">
      <c r="B11" s="6" t="s">
        <v>27</v>
      </c>
    </row>
    <row r="14" spans="1:2" x14ac:dyDescent="0.25">
      <c r="A14" t="s">
        <v>19</v>
      </c>
      <c r="B14">
        <v>28</v>
      </c>
    </row>
    <row r="15" spans="1:2" x14ac:dyDescent="0.25">
      <c r="A15" t="s">
        <v>20</v>
      </c>
      <c r="B15">
        <v>265</v>
      </c>
    </row>
    <row r="17" spans="1:1" x14ac:dyDescent="0.25">
      <c r="A17" s="1" t="s">
        <v>2</v>
      </c>
    </row>
    <row r="18" spans="1:1" x14ac:dyDescent="0.25">
      <c r="A18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</sheetData>
  <hyperlinks>
    <hyperlink ref="B8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C13" sqref="C13"/>
    </sheetView>
  </sheetViews>
  <sheetFormatPr baseColWidth="10" defaultColWidth="8.85546875" defaultRowHeight="15" x14ac:dyDescent="0.25"/>
  <cols>
    <col min="1" max="1" width="25.42578125" customWidth="1"/>
    <col min="2" max="6" width="11.42578125" bestFit="1" customWidth="1"/>
    <col min="10" max="10" width="29.140625" bestFit="1" customWidth="1"/>
  </cols>
  <sheetData>
    <row r="1" spans="1:10" x14ac:dyDescent="0.25">
      <c r="A1" s="1"/>
    </row>
    <row r="2" spans="1:10" x14ac:dyDescent="0.25">
      <c r="A2" s="1"/>
    </row>
    <row r="3" spans="1:10" x14ac:dyDescent="0.25">
      <c r="A3" t="s">
        <v>31</v>
      </c>
    </row>
    <row r="4" spans="1:10" x14ac:dyDescent="0.25">
      <c r="A4" t="s">
        <v>32</v>
      </c>
      <c r="B4" s="7"/>
      <c r="C4" s="7"/>
      <c r="D4" s="7"/>
      <c r="E4" s="7"/>
      <c r="F4" s="7"/>
    </row>
    <row r="5" spans="1:10" x14ac:dyDescent="0.25">
      <c r="A5" t="s">
        <v>33</v>
      </c>
    </row>
    <row r="6" spans="1:10" x14ac:dyDescent="0.25">
      <c r="A6" t="s">
        <v>34</v>
      </c>
      <c r="B6" s="8"/>
      <c r="C6" s="8"/>
      <c r="D6" s="8"/>
      <c r="E6" s="8"/>
      <c r="F6" s="8"/>
    </row>
    <row r="7" spans="1:10" x14ac:dyDescent="0.25">
      <c r="A7" t="s">
        <v>35</v>
      </c>
    </row>
    <row r="8" spans="1:10" x14ac:dyDescent="0.25">
      <c r="A8" t="s">
        <v>36</v>
      </c>
    </row>
    <row r="9" spans="1:10" x14ac:dyDescent="0.25">
      <c r="A9" t="s">
        <v>37</v>
      </c>
    </row>
    <row r="12" spans="1:10" x14ac:dyDescent="0.25">
      <c r="B12" s="9" t="s">
        <v>38</v>
      </c>
      <c r="C12" s="9">
        <v>2010</v>
      </c>
      <c r="D12" s="9">
        <v>2011</v>
      </c>
      <c r="E12" s="9">
        <v>2012</v>
      </c>
      <c r="F12" s="9">
        <v>2013</v>
      </c>
      <c r="G12" s="9">
        <v>2014</v>
      </c>
      <c r="H12" s="9">
        <v>2015</v>
      </c>
      <c r="I12" s="9">
        <v>2016</v>
      </c>
      <c r="J12" s="10" t="s">
        <v>39</v>
      </c>
    </row>
    <row r="13" spans="1:10" x14ac:dyDescent="0.25">
      <c r="B13" s="11" t="s">
        <v>40</v>
      </c>
      <c r="C13" s="11">
        <v>927770.20031314949</v>
      </c>
      <c r="D13" s="11">
        <v>616949.31445093325</v>
      </c>
      <c r="E13" s="11">
        <v>503513.54636207997</v>
      </c>
      <c r="F13" s="11">
        <v>647875.0387680378</v>
      </c>
      <c r="G13" s="11">
        <v>550263.09780875617</v>
      </c>
      <c r="H13" s="11">
        <v>641495.50583126117</v>
      </c>
      <c r="I13" s="11">
        <v>678383.16603900539</v>
      </c>
      <c r="J13" s="11">
        <f>AVERAGE(C13:I13)</f>
        <v>652321.40993903182</v>
      </c>
    </row>
    <row r="16" spans="1:10" x14ac:dyDescent="0.25">
      <c r="I16" t="s">
        <v>41</v>
      </c>
      <c r="J16">
        <f>J13*10^9</f>
        <v>652321409939031.87</v>
      </c>
    </row>
    <row r="18" spans="10:10" x14ac:dyDescent="0.25">
      <c r="J18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11" sqref="G11"/>
    </sheetView>
  </sheetViews>
  <sheetFormatPr baseColWidth="10" defaultColWidth="8.85546875" defaultRowHeight="15" x14ac:dyDescent="0.25"/>
  <cols>
    <col min="2" max="2" width="23" customWidth="1"/>
    <col min="3" max="3" width="10" bestFit="1" customWidth="1"/>
  </cols>
  <sheetData>
    <row r="1" spans="1:2" x14ac:dyDescent="0.25">
      <c r="B1" s="13" t="s">
        <v>42</v>
      </c>
    </row>
    <row r="2" spans="1:2" x14ac:dyDescent="0.25">
      <c r="A2" t="s">
        <v>16</v>
      </c>
      <c r="B2">
        <v>0</v>
      </c>
    </row>
    <row r="3" spans="1:2" x14ac:dyDescent="0.25">
      <c r="A3" t="s">
        <v>43</v>
      </c>
      <c r="B3">
        <v>0</v>
      </c>
    </row>
    <row r="4" spans="1:2" x14ac:dyDescent="0.25">
      <c r="A4" t="s">
        <v>44</v>
      </c>
      <c r="B4">
        <v>0</v>
      </c>
    </row>
    <row r="5" spans="1:2" x14ac:dyDescent="0.25">
      <c r="A5" t="s">
        <v>45</v>
      </c>
      <c r="B5">
        <v>0</v>
      </c>
    </row>
    <row r="6" spans="1:2" x14ac:dyDescent="0.25">
      <c r="A6" t="s">
        <v>46</v>
      </c>
      <c r="B6">
        <v>0</v>
      </c>
    </row>
    <row r="7" spans="1:2" x14ac:dyDescent="0.25">
      <c r="A7" t="s">
        <v>47</v>
      </c>
      <c r="B7">
        <v>0</v>
      </c>
    </row>
    <row r="8" spans="1:2" x14ac:dyDescent="0.25">
      <c r="A8" t="s">
        <v>48</v>
      </c>
      <c r="B8">
        <v>0</v>
      </c>
    </row>
    <row r="9" spans="1:2" x14ac:dyDescent="0.25">
      <c r="A9" t="s">
        <v>49</v>
      </c>
      <c r="B9">
        <v>0</v>
      </c>
    </row>
    <row r="10" spans="1:2" x14ac:dyDescent="0.25">
      <c r="A10" t="s">
        <v>50</v>
      </c>
      <c r="B10">
        <v>0</v>
      </c>
    </row>
    <row r="11" spans="1:2" x14ac:dyDescent="0.25">
      <c r="A11" t="s">
        <v>17</v>
      </c>
      <c r="B11" s="3">
        <v>4.3636084384378205E-3</v>
      </c>
    </row>
    <row r="12" spans="1:2" x14ac:dyDescent="0.25">
      <c r="A12" t="s">
        <v>18</v>
      </c>
      <c r="B12" s="3">
        <v>1.335357177073511E-4</v>
      </c>
    </row>
    <row r="13" spans="1:2" x14ac:dyDescent="0.25">
      <c r="A13" t="s">
        <v>51</v>
      </c>
      <c r="B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F19"/>
  <sheetViews>
    <sheetView workbookViewId="0">
      <selection activeCell="J40" sqref="J40"/>
    </sheetView>
  </sheetViews>
  <sheetFormatPr baseColWidth="10" defaultColWidth="8.85546875" defaultRowHeight="15" x14ac:dyDescent="0.25"/>
  <cols>
    <col min="1" max="1" width="16.85546875" customWidth="1"/>
    <col min="2" max="17" width="11.140625" bestFit="1" customWidth="1"/>
  </cols>
  <sheetData>
    <row r="1" spans="1:32" x14ac:dyDescent="0.25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5</v>
      </c>
      <c r="B2" s="3">
        <f>Data!$J$16</f>
        <v>652321409939031.87</v>
      </c>
      <c r="C2" s="3">
        <f>Data!$J$16</f>
        <v>652321409939031.87</v>
      </c>
      <c r="D2" s="3">
        <f>Data!$J$16</f>
        <v>652321409939031.87</v>
      </c>
      <c r="E2" s="3">
        <f>Data!$J$16</f>
        <v>652321409939031.87</v>
      </c>
      <c r="F2" s="3">
        <f>Data!$J$16</f>
        <v>652321409939031.87</v>
      </c>
      <c r="G2" s="3">
        <f>Data!$J$16</f>
        <v>652321409939031.87</v>
      </c>
      <c r="H2" s="3">
        <f>Data!$J$16</f>
        <v>652321409939031.87</v>
      </c>
      <c r="I2" s="3">
        <f>Data!$J$16</f>
        <v>652321409939031.87</v>
      </c>
      <c r="J2" s="3">
        <f>Data!$J$16</f>
        <v>652321409939031.87</v>
      </c>
      <c r="K2" s="3">
        <f>Data!$J$16</f>
        <v>652321409939031.87</v>
      </c>
      <c r="L2" s="3">
        <f>Data!$J$16</f>
        <v>652321409939031.87</v>
      </c>
      <c r="M2" s="3">
        <f>Data!$J$16</f>
        <v>652321409939031.87</v>
      </c>
      <c r="N2" s="3">
        <f>Data!$J$16</f>
        <v>652321409939031.87</v>
      </c>
      <c r="O2" s="3">
        <f>Data!$J$16</f>
        <v>652321409939031.87</v>
      </c>
      <c r="P2" s="3">
        <f>Data!$J$16</f>
        <v>652321409939031.87</v>
      </c>
      <c r="Q2" s="3">
        <f>Data!$J$16</f>
        <v>652321409939031.87</v>
      </c>
      <c r="R2" s="3">
        <f>Data!$J$16</f>
        <v>652321409939031.87</v>
      </c>
      <c r="S2" s="3">
        <f>Data!$J$16</f>
        <v>652321409939031.87</v>
      </c>
      <c r="T2" s="3">
        <f>Data!$J$16</f>
        <v>652321409939031.87</v>
      </c>
      <c r="U2" s="3">
        <f>Data!$J$16</f>
        <v>652321409939031.87</v>
      </c>
      <c r="V2" s="3">
        <f>Data!$J$16</f>
        <v>652321409939031.87</v>
      </c>
      <c r="W2" s="3">
        <f>Data!$J$16</f>
        <v>652321409939031.87</v>
      </c>
      <c r="X2" s="3">
        <f>Data!$J$16</f>
        <v>652321409939031.87</v>
      </c>
      <c r="Y2" s="3">
        <f>Data!$J$16</f>
        <v>652321409939031.87</v>
      </c>
      <c r="Z2" s="3">
        <f>Data!$J$16</f>
        <v>652321409939031.87</v>
      </c>
      <c r="AA2" s="3">
        <f>Data!$J$16</f>
        <v>652321409939031.87</v>
      </c>
      <c r="AB2" s="3">
        <f>Data!$J$16</f>
        <v>652321409939031.87</v>
      </c>
      <c r="AC2" s="3">
        <f>Data!$J$16</f>
        <v>652321409939031.87</v>
      </c>
      <c r="AD2" s="3">
        <f>Data!$J$16</f>
        <v>652321409939031.87</v>
      </c>
      <c r="AE2" s="3">
        <f>Data!$J$16</f>
        <v>652321409939031.87</v>
      </c>
      <c r="AF2" s="3">
        <f>Data!$J$16</f>
        <v>652321409939031.87</v>
      </c>
    </row>
    <row r="3" spans="1:32" x14ac:dyDescent="0.25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14</v>
      </c>
      <c r="B11" s="3">
        <f>B$2*'data from RPEpUACE'!$B11</f>
        <v>2846475208983.6162</v>
      </c>
      <c r="C11" s="3">
        <f>C$2*'data from RPEpUACE'!$B11</f>
        <v>2846475208983.6162</v>
      </c>
      <c r="D11" s="3">
        <f>D$2*'data from RPEpUACE'!$B11</f>
        <v>2846475208983.6162</v>
      </c>
      <c r="E11" s="3">
        <f>E$2*'data from RPEpUACE'!$B11</f>
        <v>2846475208983.6162</v>
      </c>
      <c r="F11" s="3">
        <f>F$2*'data from RPEpUACE'!$B11</f>
        <v>2846475208983.6162</v>
      </c>
      <c r="G11" s="3">
        <f>G$2*'data from RPEpUACE'!$B11</f>
        <v>2846475208983.6162</v>
      </c>
      <c r="H11" s="3">
        <f>H$2*'data from RPEpUACE'!$B11</f>
        <v>2846475208983.6162</v>
      </c>
      <c r="I11" s="3">
        <f>I$2*'data from RPEpUACE'!$B11</f>
        <v>2846475208983.6162</v>
      </c>
      <c r="J11" s="3">
        <f>J$2*'data from RPEpUACE'!$B11</f>
        <v>2846475208983.6162</v>
      </c>
      <c r="K11" s="3">
        <f>K$2*'data from RPEpUACE'!$B11</f>
        <v>2846475208983.6162</v>
      </c>
      <c r="L11" s="3">
        <f>L$2*'data from RPEpUACE'!$B11</f>
        <v>2846475208983.6162</v>
      </c>
      <c r="M11" s="3">
        <f>M$2*'data from RPEpUACE'!$B11</f>
        <v>2846475208983.6162</v>
      </c>
      <c r="N11" s="3">
        <f>N$2*'data from RPEpUACE'!$B11</f>
        <v>2846475208983.6162</v>
      </c>
      <c r="O11" s="3">
        <f>O$2*'data from RPEpUACE'!$B11</f>
        <v>2846475208983.6162</v>
      </c>
      <c r="P11" s="3">
        <f>P$2*'data from RPEpUACE'!$B11</f>
        <v>2846475208983.6162</v>
      </c>
      <c r="Q11" s="3">
        <f>Q$2*'data from RPEpUACE'!$B11</f>
        <v>2846475208983.6162</v>
      </c>
      <c r="R11" s="3">
        <f>R$2*'data from RPEpUACE'!$B11</f>
        <v>2846475208983.6162</v>
      </c>
      <c r="S11" s="3">
        <f>S$2*'data from RPEpUACE'!$B11</f>
        <v>2846475208983.6162</v>
      </c>
      <c r="T11" s="3">
        <f>T$2*'data from RPEpUACE'!$B11</f>
        <v>2846475208983.6162</v>
      </c>
      <c r="U11" s="3">
        <f>U$2*'data from RPEpUACE'!$B11</f>
        <v>2846475208983.6162</v>
      </c>
      <c r="V11" s="3">
        <f>V$2*'data from RPEpUACE'!$B11</f>
        <v>2846475208983.6162</v>
      </c>
      <c r="W11" s="3">
        <f>W$2*'data from RPEpUACE'!$B11</f>
        <v>2846475208983.6162</v>
      </c>
      <c r="X11" s="3">
        <f>X$2*'data from RPEpUACE'!$B11</f>
        <v>2846475208983.6162</v>
      </c>
      <c r="Y11" s="3">
        <f>Y$2*'data from RPEpUACE'!$B11</f>
        <v>2846475208983.6162</v>
      </c>
      <c r="Z11" s="3">
        <f>Z$2*'data from RPEpUACE'!$B11</f>
        <v>2846475208983.6162</v>
      </c>
      <c r="AA11" s="3">
        <f>AA$2*'data from RPEpUACE'!$B11</f>
        <v>2846475208983.6162</v>
      </c>
      <c r="AB11" s="3">
        <f>AB$2*'data from RPEpUACE'!$B11</f>
        <v>2846475208983.6162</v>
      </c>
      <c r="AC11" s="3">
        <f>AC$2*'data from RPEpUACE'!$B11</f>
        <v>2846475208983.6162</v>
      </c>
      <c r="AD11" s="3">
        <f>AD$2*'data from RPEpUACE'!$B11</f>
        <v>2846475208983.6162</v>
      </c>
      <c r="AE11" s="3">
        <f>AE$2*'data from RPEpUACE'!$B11</f>
        <v>2846475208983.6162</v>
      </c>
      <c r="AF11" s="3">
        <f>AF$2*'data from RPEpUACE'!$B11</f>
        <v>2846475208983.6162</v>
      </c>
    </row>
    <row r="12" spans="1:32" x14ac:dyDescent="0.25">
      <c r="A12" t="s">
        <v>15</v>
      </c>
      <c r="B12" s="3">
        <f>B$2*'data from RPEpUACE'!$B12</f>
        <v>87108207652.079819</v>
      </c>
      <c r="C12" s="3">
        <f>C$2*'data from RPEpUACE'!$B12</f>
        <v>87108207652.079819</v>
      </c>
      <c r="D12" s="3">
        <f>D$2*'data from RPEpUACE'!$B12</f>
        <v>87108207652.079819</v>
      </c>
      <c r="E12" s="3">
        <f>E$2*'data from RPEpUACE'!$B12</f>
        <v>87108207652.079819</v>
      </c>
      <c r="F12" s="3">
        <f>F$2*'data from RPEpUACE'!$B12</f>
        <v>87108207652.079819</v>
      </c>
      <c r="G12" s="3">
        <f>G$2*'data from RPEpUACE'!$B12</f>
        <v>87108207652.079819</v>
      </c>
      <c r="H12" s="3">
        <f>H$2*'data from RPEpUACE'!$B12</f>
        <v>87108207652.079819</v>
      </c>
      <c r="I12" s="3">
        <f>I$2*'data from RPEpUACE'!$B12</f>
        <v>87108207652.079819</v>
      </c>
      <c r="J12" s="3">
        <f>J$2*'data from RPEpUACE'!$B12</f>
        <v>87108207652.079819</v>
      </c>
      <c r="K12" s="3">
        <f>K$2*'data from RPEpUACE'!$B12</f>
        <v>87108207652.079819</v>
      </c>
      <c r="L12" s="3">
        <f>L$2*'data from RPEpUACE'!$B12</f>
        <v>87108207652.079819</v>
      </c>
      <c r="M12" s="3">
        <f>M$2*'data from RPEpUACE'!$B12</f>
        <v>87108207652.079819</v>
      </c>
      <c r="N12" s="3">
        <f>N$2*'data from RPEpUACE'!$B12</f>
        <v>87108207652.079819</v>
      </c>
      <c r="O12" s="3">
        <f>O$2*'data from RPEpUACE'!$B12</f>
        <v>87108207652.079819</v>
      </c>
      <c r="P12" s="3">
        <f>P$2*'data from RPEpUACE'!$B12</f>
        <v>87108207652.079819</v>
      </c>
      <c r="Q12" s="3">
        <f>Q$2*'data from RPEpUACE'!$B12</f>
        <v>87108207652.079819</v>
      </c>
      <c r="R12" s="3">
        <f>R$2*'data from RPEpUACE'!$B12</f>
        <v>87108207652.079819</v>
      </c>
      <c r="S12" s="3">
        <f>S$2*'data from RPEpUACE'!$B12</f>
        <v>87108207652.079819</v>
      </c>
      <c r="T12" s="3">
        <f>T$2*'data from RPEpUACE'!$B12</f>
        <v>87108207652.079819</v>
      </c>
      <c r="U12" s="3">
        <f>U$2*'data from RPEpUACE'!$B12</f>
        <v>87108207652.079819</v>
      </c>
      <c r="V12" s="3">
        <f>V$2*'data from RPEpUACE'!$B12</f>
        <v>87108207652.079819</v>
      </c>
      <c r="W12" s="3">
        <f>W$2*'data from RPEpUACE'!$B12</f>
        <v>87108207652.079819</v>
      </c>
      <c r="X12" s="3">
        <f>X$2*'data from RPEpUACE'!$B12</f>
        <v>87108207652.079819</v>
      </c>
      <c r="Y12" s="3">
        <f>Y$2*'data from RPEpUACE'!$B12</f>
        <v>87108207652.079819</v>
      </c>
      <c r="Z12" s="3">
        <f>Z$2*'data from RPEpUACE'!$B12</f>
        <v>87108207652.079819</v>
      </c>
      <c r="AA12" s="3">
        <f>AA$2*'data from RPEpUACE'!$B12</f>
        <v>87108207652.079819</v>
      </c>
      <c r="AB12" s="3">
        <f>AB$2*'data from RPEpUACE'!$B12</f>
        <v>87108207652.079819</v>
      </c>
      <c r="AC12" s="3">
        <f>AC$2*'data from RPEpUACE'!$B12</f>
        <v>87108207652.079819</v>
      </c>
      <c r="AD12" s="3">
        <f>AD$2*'data from RPEpUACE'!$B12</f>
        <v>87108207652.079819</v>
      </c>
      <c r="AE12" s="3">
        <f>AE$2*'data from RPEpUACE'!$B12</f>
        <v>87108207652.079819</v>
      </c>
      <c r="AF12" s="3">
        <f>AF$2*'data from RPEpUACE'!$B12</f>
        <v>87108207652.079819</v>
      </c>
    </row>
    <row r="13" spans="1:32" x14ac:dyDescent="0.25">
      <c r="A13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53</v>
      </c>
      <c r="B14" s="3">
        <f>SUM(B2:B13)</f>
        <v>655254993355667.62</v>
      </c>
      <c r="C14" s="3">
        <f t="shared" ref="C14:AF14" si="0">SUM(C2:C13)</f>
        <v>655254993355667.62</v>
      </c>
      <c r="D14" s="3">
        <f t="shared" si="0"/>
        <v>655254993355667.62</v>
      </c>
      <c r="E14" s="3">
        <f t="shared" si="0"/>
        <v>655254993355667.62</v>
      </c>
      <c r="F14" s="3">
        <f t="shared" si="0"/>
        <v>655254993355667.62</v>
      </c>
      <c r="G14" s="3">
        <f t="shared" si="0"/>
        <v>655254993355667.62</v>
      </c>
      <c r="H14" s="3">
        <f t="shared" si="0"/>
        <v>655254993355667.62</v>
      </c>
      <c r="I14" s="3">
        <f t="shared" si="0"/>
        <v>655254993355667.62</v>
      </c>
      <c r="J14" s="3">
        <f t="shared" si="0"/>
        <v>655254993355667.62</v>
      </c>
      <c r="K14" s="3">
        <f t="shared" si="0"/>
        <v>655254993355667.62</v>
      </c>
      <c r="L14" s="3">
        <f t="shared" si="0"/>
        <v>655254993355667.62</v>
      </c>
      <c r="M14" s="3">
        <f t="shared" si="0"/>
        <v>655254993355667.62</v>
      </c>
      <c r="N14" s="3">
        <f t="shared" si="0"/>
        <v>655254993355667.62</v>
      </c>
      <c r="O14" s="3">
        <f t="shared" si="0"/>
        <v>655254993355667.62</v>
      </c>
      <c r="P14" s="3">
        <f t="shared" si="0"/>
        <v>655254993355667.62</v>
      </c>
      <c r="Q14" s="3">
        <f t="shared" si="0"/>
        <v>655254993355667.62</v>
      </c>
      <c r="R14" s="3">
        <f t="shared" si="0"/>
        <v>655254993355667.62</v>
      </c>
      <c r="S14" s="3">
        <f t="shared" si="0"/>
        <v>655254993355667.62</v>
      </c>
      <c r="T14" s="3">
        <f t="shared" si="0"/>
        <v>655254993355667.62</v>
      </c>
      <c r="U14" s="3">
        <f t="shared" si="0"/>
        <v>655254993355667.62</v>
      </c>
      <c r="V14" s="3">
        <f t="shared" si="0"/>
        <v>655254993355667.62</v>
      </c>
      <c r="W14" s="3">
        <f t="shared" si="0"/>
        <v>655254993355667.62</v>
      </c>
      <c r="X14" s="3">
        <f t="shared" si="0"/>
        <v>655254993355667.62</v>
      </c>
      <c r="Y14" s="3">
        <f t="shared" si="0"/>
        <v>655254993355667.62</v>
      </c>
      <c r="Z14" s="3">
        <f t="shared" si="0"/>
        <v>655254993355667.62</v>
      </c>
      <c r="AA14" s="3">
        <f t="shared" si="0"/>
        <v>655254993355667.62</v>
      </c>
      <c r="AB14" s="3">
        <f t="shared" si="0"/>
        <v>655254993355667.62</v>
      </c>
      <c r="AC14" s="3">
        <f t="shared" si="0"/>
        <v>655254993355667.62</v>
      </c>
      <c r="AD14" s="3">
        <f t="shared" si="0"/>
        <v>655254993355667.62</v>
      </c>
      <c r="AE14" s="3">
        <f t="shared" si="0"/>
        <v>655254993355667.62</v>
      </c>
      <c r="AF14" s="3">
        <f t="shared" si="0"/>
        <v>655254993355667.62</v>
      </c>
    </row>
    <row r="16" spans="1:32" x14ac:dyDescent="0.25">
      <c r="A16" t="s">
        <v>52</v>
      </c>
      <c r="B16">
        <f>B1</f>
        <v>2020</v>
      </c>
      <c r="C16">
        <f t="shared" ref="C16:AF16" si="1">C1</f>
        <v>2021</v>
      </c>
      <c r="D16">
        <f t="shared" si="1"/>
        <v>2022</v>
      </c>
      <c r="E16">
        <f t="shared" si="1"/>
        <v>2023</v>
      </c>
      <c r="F16">
        <f t="shared" si="1"/>
        <v>2024</v>
      </c>
      <c r="G16">
        <f t="shared" si="1"/>
        <v>2025</v>
      </c>
      <c r="H16">
        <f t="shared" si="1"/>
        <v>2026</v>
      </c>
      <c r="I16">
        <f t="shared" si="1"/>
        <v>2027</v>
      </c>
      <c r="J16">
        <f t="shared" si="1"/>
        <v>2028</v>
      </c>
      <c r="K16">
        <f t="shared" si="1"/>
        <v>2029</v>
      </c>
      <c r="L16">
        <f t="shared" si="1"/>
        <v>2030</v>
      </c>
      <c r="M16">
        <f t="shared" si="1"/>
        <v>2031</v>
      </c>
      <c r="N16">
        <f t="shared" si="1"/>
        <v>2032</v>
      </c>
      <c r="O16">
        <f t="shared" si="1"/>
        <v>2033</v>
      </c>
      <c r="P16">
        <f t="shared" si="1"/>
        <v>2034</v>
      </c>
      <c r="Q16">
        <f t="shared" si="1"/>
        <v>2035</v>
      </c>
      <c r="R16">
        <f t="shared" si="1"/>
        <v>2036</v>
      </c>
      <c r="S16">
        <f t="shared" si="1"/>
        <v>2037</v>
      </c>
      <c r="T16">
        <f t="shared" si="1"/>
        <v>2038</v>
      </c>
      <c r="U16">
        <f t="shared" si="1"/>
        <v>2039</v>
      </c>
      <c r="V16">
        <f t="shared" si="1"/>
        <v>2040</v>
      </c>
      <c r="W16">
        <f t="shared" si="1"/>
        <v>2041</v>
      </c>
      <c r="X16">
        <f t="shared" si="1"/>
        <v>2042</v>
      </c>
      <c r="Y16">
        <f t="shared" si="1"/>
        <v>2043</v>
      </c>
      <c r="Z16">
        <f t="shared" si="1"/>
        <v>2044</v>
      </c>
      <c r="AA16">
        <f t="shared" si="1"/>
        <v>2045</v>
      </c>
      <c r="AB16">
        <f t="shared" si="1"/>
        <v>2046</v>
      </c>
      <c r="AC16">
        <f t="shared" si="1"/>
        <v>2047</v>
      </c>
      <c r="AD16">
        <f t="shared" si="1"/>
        <v>2048</v>
      </c>
      <c r="AE16">
        <f t="shared" si="1"/>
        <v>2049</v>
      </c>
      <c r="AF16">
        <f t="shared" si="1"/>
        <v>2050</v>
      </c>
    </row>
    <row r="17" spans="1:32" x14ac:dyDescent="0.25">
      <c r="A17" s="14" t="s">
        <v>54</v>
      </c>
      <c r="B17" s="3">
        <f>B2/B$14</f>
        <v>0.99552298960498964</v>
      </c>
      <c r="C17" s="3">
        <f t="shared" ref="C17:AF17" si="2">C2/C$14</f>
        <v>0.99552298960498964</v>
      </c>
      <c r="D17" s="3">
        <f t="shared" si="2"/>
        <v>0.99552298960498964</v>
      </c>
      <c r="E17" s="3">
        <f t="shared" si="2"/>
        <v>0.99552298960498964</v>
      </c>
      <c r="F17" s="3">
        <f t="shared" si="2"/>
        <v>0.99552298960498964</v>
      </c>
      <c r="G17" s="3">
        <f t="shared" si="2"/>
        <v>0.99552298960498964</v>
      </c>
      <c r="H17" s="3">
        <f t="shared" si="2"/>
        <v>0.99552298960498964</v>
      </c>
      <c r="I17" s="3">
        <f t="shared" si="2"/>
        <v>0.99552298960498964</v>
      </c>
      <c r="J17" s="3">
        <f t="shared" si="2"/>
        <v>0.99552298960498964</v>
      </c>
      <c r="K17" s="3">
        <f t="shared" si="2"/>
        <v>0.99552298960498964</v>
      </c>
      <c r="L17" s="3">
        <f t="shared" si="2"/>
        <v>0.99552298960498964</v>
      </c>
      <c r="M17" s="3">
        <f t="shared" si="2"/>
        <v>0.99552298960498964</v>
      </c>
      <c r="N17" s="3">
        <f t="shared" si="2"/>
        <v>0.99552298960498964</v>
      </c>
      <c r="O17" s="3">
        <f t="shared" si="2"/>
        <v>0.99552298960498964</v>
      </c>
      <c r="P17" s="3">
        <f t="shared" si="2"/>
        <v>0.99552298960498964</v>
      </c>
      <c r="Q17" s="3">
        <f t="shared" si="2"/>
        <v>0.99552298960498964</v>
      </c>
      <c r="R17" s="3">
        <f t="shared" si="2"/>
        <v>0.99552298960498964</v>
      </c>
      <c r="S17" s="3">
        <f t="shared" si="2"/>
        <v>0.99552298960498964</v>
      </c>
      <c r="T17" s="3">
        <f t="shared" si="2"/>
        <v>0.99552298960498964</v>
      </c>
      <c r="U17" s="3">
        <f t="shared" si="2"/>
        <v>0.99552298960498964</v>
      </c>
      <c r="V17" s="3">
        <f t="shared" si="2"/>
        <v>0.99552298960498964</v>
      </c>
      <c r="W17" s="3">
        <f t="shared" si="2"/>
        <v>0.99552298960498964</v>
      </c>
      <c r="X17" s="3">
        <f t="shared" si="2"/>
        <v>0.99552298960498964</v>
      </c>
      <c r="Y17" s="3">
        <f t="shared" si="2"/>
        <v>0.99552298960498964</v>
      </c>
      <c r="Z17" s="3">
        <f t="shared" si="2"/>
        <v>0.99552298960498964</v>
      </c>
      <c r="AA17" s="3">
        <f t="shared" si="2"/>
        <v>0.99552298960498964</v>
      </c>
      <c r="AB17" s="3">
        <f t="shared" si="2"/>
        <v>0.99552298960498964</v>
      </c>
      <c r="AC17" s="3">
        <f t="shared" si="2"/>
        <v>0.99552298960498964</v>
      </c>
      <c r="AD17" s="3">
        <f t="shared" si="2"/>
        <v>0.99552298960498964</v>
      </c>
      <c r="AE17" s="3">
        <f t="shared" si="2"/>
        <v>0.99552298960498964</v>
      </c>
      <c r="AF17" s="3">
        <f t="shared" si="2"/>
        <v>0.99552298960498964</v>
      </c>
    </row>
    <row r="18" spans="1:32" x14ac:dyDescent="0.25">
      <c r="A18" s="14" t="s">
        <v>55</v>
      </c>
      <c r="B18" s="3">
        <f>B11/B14</f>
        <v>4.3440725180991799E-3</v>
      </c>
      <c r="C18" s="3">
        <f t="shared" ref="C18:AF18" si="3">C11/C14</f>
        <v>4.3440725180991799E-3</v>
      </c>
      <c r="D18" s="3">
        <f t="shared" si="3"/>
        <v>4.3440725180991799E-3</v>
      </c>
      <c r="E18" s="3">
        <f t="shared" si="3"/>
        <v>4.3440725180991799E-3</v>
      </c>
      <c r="F18" s="3">
        <f t="shared" si="3"/>
        <v>4.3440725180991799E-3</v>
      </c>
      <c r="G18" s="3">
        <f t="shared" si="3"/>
        <v>4.3440725180991799E-3</v>
      </c>
      <c r="H18" s="3">
        <f t="shared" si="3"/>
        <v>4.3440725180991799E-3</v>
      </c>
      <c r="I18" s="3">
        <f t="shared" si="3"/>
        <v>4.3440725180991799E-3</v>
      </c>
      <c r="J18" s="3">
        <f t="shared" si="3"/>
        <v>4.3440725180991799E-3</v>
      </c>
      <c r="K18" s="3">
        <f t="shared" si="3"/>
        <v>4.3440725180991799E-3</v>
      </c>
      <c r="L18" s="3">
        <f t="shared" si="3"/>
        <v>4.3440725180991799E-3</v>
      </c>
      <c r="M18" s="3">
        <f t="shared" si="3"/>
        <v>4.3440725180991799E-3</v>
      </c>
      <c r="N18" s="3">
        <f t="shared" si="3"/>
        <v>4.3440725180991799E-3</v>
      </c>
      <c r="O18" s="3">
        <f t="shared" si="3"/>
        <v>4.3440725180991799E-3</v>
      </c>
      <c r="P18" s="3">
        <f t="shared" si="3"/>
        <v>4.3440725180991799E-3</v>
      </c>
      <c r="Q18" s="3">
        <f t="shared" si="3"/>
        <v>4.3440725180991799E-3</v>
      </c>
      <c r="R18" s="3">
        <f t="shared" si="3"/>
        <v>4.3440725180991799E-3</v>
      </c>
      <c r="S18" s="3">
        <f t="shared" si="3"/>
        <v>4.3440725180991799E-3</v>
      </c>
      <c r="T18" s="3">
        <f t="shared" si="3"/>
        <v>4.3440725180991799E-3</v>
      </c>
      <c r="U18" s="3">
        <f t="shared" si="3"/>
        <v>4.3440725180991799E-3</v>
      </c>
      <c r="V18" s="3">
        <f t="shared" si="3"/>
        <v>4.3440725180991799E-3</v>
      </c>
      <c r="W18" s="3">
        <f t="shared" si="3"/>
        <v>4.3440725180991799E-3</v>
      </c>
      <c r="X18" s="3">
        <f t="shared" si="3"/>
        <v>4.3440725180991799E-3</v>
      </c>
      <c r="Y18" s="3">
        <f t="shared" si="3"/>
        <v>4.3440725180991799E-3</v>
      </c>
      <c r="Z18" s="3">
        <f t="shared" si="3"/>
        <v>4.3440725180991799E-3</v>
      </c>
      <c r="AA18" s="3">
        <f t="shared" si="3"/>
        <v>4.3440725180991799E-3</v>
      </c>
      <c r="AB18" s="3">
        <f t="shared" si="3"/>
        <v>4.3440725180991799E-3</v>
      </c>
      <c r="AC18" s="3">
        <f t="shared" si="3"/>
        <v>4.3440725180991799E-3</v>
      </c>
      <c r="AD18" s="3">
        <f t="shared" si="3"/>
        <v>4.3440725180991799E-3</v>
      </c>
      <c r="AE18" s="3">
        <f t="shared" si="3"/>
        <v>4.3440725180991799E-3</v>
      </c>
      <c r="AF18" s="3">
        <f t="shared" si="3"/>
        <v>4.3440725180991799E-3</v>
      </c>
    </row>
    <row r="19" spans="1:32" x14ac:dyDescent="0.25">
      <c r="A19" s="14" t="s">
        <v>56</v>
      </c>
      <c r="B19" s="3">
        <f>B12/B14</f>
        <v>1.3293787691107014E-4</v>
      </c>
      <c r="C19" s="3">
        <f t="shared" ref="C19:AF19" si="4">C12/C14</f>
        <v>1.3293787691107014E-4</v>
      </c>
      <c r="D19" s="3">
        <f t="shared" si="4"/>
        <v>1.3293787691107014E-4</v>
      </c>
      <c r="E19" s="3">
        <f t="shared" si="4"/>
        <v>1.3293787691107014E-4</v>
      </c>
      <c r="F19" s="3">
        <f t="shared" si="4"/>
        <v>1.3293787691107014E-4</v>
      </c>
      <c r="G19" s="3">
        <f t="shared" si="4"/>
        <v>1.3293787691107014E-4</v>
      </c>
      <c r="H19" s="3">
        <f t="shared" si="4"/>
        <v>1.3293787691107014E-4</v>
      </c>
      <c r="I19" s="3">
        <f t="shared" si="4"/>
        <v>1.3293787691107014E-4</v>
      </c>
      <c r="J19" s="3">
        <f t="shared" si="4"/>
        <v>1.3293787691107014E-4</v>
      </c>
      <c r="K19" s="3">
        <f t="shared" si="4"/>
        <v>1.3293787691107014E-4</v>
      </c>
      <c r="L19" s="3">
        <f t="shared" si="4"/>
        <v>1.3293787691107014E-4</v>
      </c>
      <c r="M19" s="3">
        <f t="shared" si="4"/>
        <v>1.3293787691107014E-4</v>
      </c>
      <c r="N19" s="3">
        <f t="shared" si="4"/>
        <v>1.3293787691107014E-4</v>
      </c>
      <c r="O19" s="3">
        <f t="shared" si="4"/>
        <v>1.3293787691107014E-4</v>
      </c>
      <c r="P19" s="3">
        <f t="shared" si="4"/>
        <v>1.3293787691107014E-4</v>
      </c>
      <c r="Q19" s="3">
        <f t="shared" si="4"/>
        <v>1.3293787691107014E-4</v>
      </c>
      <c r="R19" s="3">
        <f t="shared" si="4"/>
        <v>1.3293787691107014E-4</v>
      </c>
      <c r="S19" s="3">
        <f t="shared" si="4"/>
        <v>1.3293787691107014E-4</v>
      </c>
      <c r="T19" s="3">
        <f t="shared" si="4"/>
        <v>1.3293787691107014E-4</v>
      </c>
      <c r="U19" s="3">
        <f t="shared" si="4"/>
        <v>1.3293787691107014E-4</v>
      </c>
      <c r="V19" s="3">
        <f t="shared" si="4"/>
        <v>1.3293787691107014E-4</v>
      </c>
      <c r="W19" s="3">
        <f t="shared" si="4"/>
        <v>1.3293787691107014E-4</v>
      </c>
      <c r="X19" s="3">
        <f t="shared" si="4"/>
        <v>1.3293787691107014E-4</v>
      </c>
      <c r="Y19" s="3">
        <f t="shared" si="4"/>
        <v>1.3293787691107014E-4</v>
      </c>
      <c r="Z19" s="3">
        <f t="shared" si="4"/>
        <v>1.3293787691107014E-4</v>
      </c>
      <c r="AA19" s="3">
        <f t="shared" si="4"/>
        <v>1.3293787691107014E-4</v>
      </c>
      <c r="AB19" s="3">
        <f t="shared" si="4"/>
        <v>1.3293787691107014E-4</v>
      </c>
      <c r="AC19" s="3">
        <f t="shared" si="4"/>
        <v>1.3293787691107014E-4</v>
      </c>
      <c r="AD19" s="3">
        <f t="shared" si="4"/>
        <v>1.3293787691107014E-4</v>
      </c>
      <c r="AE19" s="3">
        <f t="shared" si="4"/>
        <v>1.3293787691107014E-4</v>
      </c>
      <c r="AF19" s="3">
        <f t="shared" si="4"/>
        <v>1.3293787691107014E-4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>
      <selection activeCell="C12" sqref="C12"/>
    </sheetView>
  </sheetViews>
  <sheetFormatPr baseColWidth="10" defaultRowHeight="15" x14ac:dyDescent="0.25"/>
  <sheetData>
    <row r="1" spans="1:32" x14ac:dyDescent="0.25">
      <c r="A1" s="21" t="s">
        <v>66</v>
      </c>
    </row>
    <row r="2" spans="1:32" s="1" customFormat="1" x14ac:dyDescent="0.25">
      <c r="A2" s="21" t="s">
        <v>1</v>
      </c>
      <c r="B2" s="1">
        <v>2020</v>
      </c>
      <c r="C2" s="1">
        <v>2021</v>
      </c>
      <c r="D2" s="1">
        <v>2022</v>
      </c>
      <c r="E2" s="1">
        <v>2023</v>
      </c>
      <c r="F2" s="1">
        <v>2024</v>
      </c>
      <c r="G2" s="1">
        <v>2025</v>
      </c>
      <c r="H2" s="1">
        <v>2026</v>
      </c>
      <c r="I2" s="1">
        <v>2027</v>
      </c>
      <c r="J2" s="1">
        <v>2028</v>
      </c>
      <c r="K2" s="1">
        <v>2029</v>
      </c>
      <c r="L2" s="1">
        <v>2030</v>
      </c>
      <c r="M2" s="1">
        <v>2031</v>
      </c>
      <c r="N2" s="1">
        <v>2032</v>
      </c>
      <c r="O2" s="1">
        <v>2033</v>
      </c>
      <c r="P2" s="1">
        <v>2034</v>
      </c>
      <c r="Q2" s="1">
        <v>2035</v>
      </c>
      <c r="R2" s="1">
        <v>2036</v>
      </c>
      <c r="S2" s="1">
        <v>2037</v>
      </c>
      <c r="T2" s="1">
        <v>2038</v>
      </c>
      <c r="U2" s="1">
        <v>2039</v>
      </c>
      <c r="V2" s="1">
        <v>2040</v>
      </c>
      <c r="W2" s="1">
        <v>2041</v>
      </c>
      <c r="X2" s="1">
        <v>2042</v>
      </c>
      <c r="Y2" s="1">
        <v>2043</v>
      </c>
      <c r="Z2" s="1">
        <v>2044</v>
      </c>
      <c r="AA2" s="1">
        <v>2045</v>
      </c>
      <c r="AB2" s="1">
        <v>2046</v>
      </c>
      <c r="AC2" s="1">
        <v>2047</v>
      </c>
      <c r="AD2" s="1">
        <v>2048</v>
      </c>
      <c r="AE2" s="1">
        <v>2049</v>
      </c>
      <c r="AF2" s="1">
        <v>2050</v>
      </c>
    </row>
    <row r="3" spans="1:32" x14ac:dyDescent="0.25">
      <c r="A3" s="4" t="s">
        <v>67</v>
      </c>
      <c r="B3">
        <v>665.08399999999995</v>
      </c>
      <c r="C3">
        <v>882.47799999999995</v>
      </c>
      <c r="D3">
        <v>805.69399999999996</v>
      </c>
      <c r="E3">
        <f>FORECAST(E2,$C$3:$D$3,$C$2:$D$2)</f>
        <v>728.91000000000349</v>
      </c>
      <c r="F3">
        <f>FORECAST(F2,$B$3:$D$3,$B$2:$D$2)</f>
        <v>995.33366666664369</v>
      </c>
      <c r="G3">
        <f t="shared" ref="G3:AF3" si="0">FORECAST(G2,$B$3:$D$3,$B$2:$D$2)</f>
        <v>1065.6386666666367</v>
      </c>
      <c r="H3">
        <f t="shared" si="0"/>
        <v>1135.9436666666588</v>
      </c>
      <c r="I3">
        <f t="shared" si="0"/>
        <v>1206.2486666666518</v>
      </c>
      <c r="J3">
        <f t="shared" si="0"/>
        <v>1276.5536666666449</v>
      </c>
      <c r="K3">
        <f t="shared" si="0"/>
        <v>1346.8586666666379</v>
      </c>
      <c r="L3">
        <f t="shared" si="0"/>
        <v>1417.16366666666</v>
      </c>
      <c r="M3">
        <f t="shared" si="0"/>
        <v>1487.468666666653</v>
      </c>
      <c r="N3">
        <f t="shared" si="0"/>
        <v>1557.773666666646</v>
      </c>
      <c r="O3">
        <f t="shared" si="0"/>
        <v>1628.078666666639</v>
      </c>
      <c r="P3">
        <f t="shared" si="0"/>
        <v>1698.3836666666612</v>
      </c>
      <c r="Q3">
        <f t="shared" si="0"/>
        <v>1768.6886666666542</v>
      </c>
      <c r="R3">
        <f t="shared" si="0"/>
        <v>1838.9936666666472</v>
      </c>
      <c r="S3">
        <f t="shared" si="0"/>
        <v>1909.2986666666402</v>
      </c>
      <c r="T3">
        <f t="shared" si="0"/>
        <v>1979.6036666666623</v>
      </c>
      <c r="U3">
        <f t="shared" si="0"/>
        <v>2049.9086666666553</v>
      </c>
      <c r="V3">
        <f t="shared" si="0"/>
        <v>2120.2136666666484</v>
      </c>
      <c r="W3">
        <f t="shared" si="0"/>
        <v>2190.5186666666414</v>
      </c>
      <c r="X3">
        <f t="shared" si="0"/>
        <v>2260.8236666666635</v>
      </c>
      <c r="Y3">
        <f t="shared" si="0"/>
        <v>2331.1286666666565</v>
      </c>
      <c r="Z3">
        <f t="shared" si="0"/>
        <v>2401.4336666666495</v>
      </c>
      <c r="AA3">
        <f t="shared" si="0"/>
        <v>2471.7386666666425</v>
      </c>
      <c r="AB3">
        <f t="shared" si="0"/>
        <v>2542.0436666666646</v>
      </c>
      <c r="AC3">
        <f t="shared" si="0"/>
        <v>2612.3486666666577</v>
      </c>
      <c r="AD3">
        <f t="shared" si="0"/>
        <v>2682.6536666666507</v>
      </c>
      <c r="AE3">
        <f t="shared" si="0"/>
        <v>2752.9586666666437</v>
      </c>
      <c r="AF3">
        <f t="shared" si="0"/>
        <v>2823.2636666666367</v>
      </c>
    </row>
    <row r="4" spans="1:32" x14ac:dyDescent="0.25">
      <c r="A4" s="4"/>
    </row>
    <row r="5" spans="1:32" x14ac:dyDescent="0.25">
      <c r="A5" s="21" t="s">
        <v>68</v>
      </c>
    </row>
    <row r="6" spans="1:32" s="1" customFormat="1" x14ac:dyDescent="0.25">
      <c r="A6" s="21" t="s">
        <v>1</v>
      </c>
      <c r="B6" s="1">
        <v>2020</v>
      </c>
      <c r="C6" s="1">
        <v>2025</v>
      </c>
      <c r="D6" s="1">
        <v>2030</v>
      </c>
      <c r="E6" s="1">
        <v>2035</v>
      </c>
      <c r="F6" s="1">
        <v>2040</v>
      </c>
      <c r="G6" s="1">
        <v>2045</v>
      </c>
      <c r="H6" s="1">
        <v>2050</v>
      </c>
    </row>
    <row r="7" spans="1:32" x14ac:dyDescent="0.25">
      <c r="A7" s="4" t="s">
        <v>67</v>
      </c>
      <c r="B7">
        <v>824.44</v>
      </c>
      <c r="C7">
        <v>827.61</v>
      </c>
      <c r="D7">
        <v>834.18</v>
      </c>
      <c r="E7">
        <v>856.84</v>
      </c>
      <c r="F7">
        <v>885.42</v>
      </c>
      <c r="G7">
        <v>886.26</v>
      </c>
      <c r="H7">
        <v>906.58</v>
      </c>
    </row>
    <row r="8" spans="1:32" x14ac:dyDescent="0.25">
      <c r="A8" s="4" t="s">
        <v>69</v>
      </c>
      <c r="B8">
        <v>0</v>
      </c>
      <c r="C8">
        <f>(C7-$B$7)/$B$7</f>
        <v>3.845034205036096E-3</v>
      </c>
      <c r="D8">
        <f t="shared" ref="D8:H8" si="1">(D7-$B$7)/$B$7</f>
        <v>1.181407986026866E-2</v>
      </c>
      <c r="E8">
        <f t="shared" si="1"/>
        <v>3.9299403231284238E-2</v>
      </c>
      <c r="F8">
        <f t="shared" si="1"/>
        <v>7.3965358303818229E-2</v>
      </c>
      <c r="G8">
        <f t="shared" si="1"/>
        <v>7.4984231720925637E-2</v>
      </c>
      <c r="H8">
        <f t="shared" si="1"/>
        <v>9.9631264858570642E-2</v>
      </c>
    </row>
    <row r="9" spans="1:32" x14ac:dyDescent="0.25">
      <c r="A9" s="4"/>
    </row>
    <row r="10" spans="1:32" x14ac:dyDescent="0.25">
      <c r="A10" s="21" t="s">
        <v>66</v>
      </c>
    </row>
    <row r="11" spans="1:32" x14ac:dyDescent="0.25">
      <c r="A11" s="21" t="s">
        <v>1</v>
      </c>
      <c r="B11" s="1">
        <v>2020</v>
      </c>
      <c r="C11" s="1">
        <v>2025</v>
      </c>
      <c r="D11" s="1">
        <v>2030</v>
      </c>
      <c r="E11" s="1">
        <v>2035</v>
      </c>
      <c r="F11" s="1">
        <v>2040</v>
      </c>
      <c r="G11" s="1">
        <v>2045</v>
      </c>
      <c r="H11" s="1">
        <v>2050</v>
      </c>
    </row>
    <row r="12" spans="1:32" x14ac:dyDescent="0.25">
      <c r="A12" s="4" t="s">
        <v>67</v>
      </c>
      <c r="B12">
        <f>B3</f>
        <v>665.08399999999995</v>
      </c>
      <c r="C12">
        <f>(D3+D3*C8)</f>
        <v>808.7919209887923</v>
      </c>
      <c r="D12">
        <f>($C$12+$C$12*D8)</f>
        <v>818.34705333369402</v>
      </c>
      <c r="E12">
        <f t="shared" ref="E12:H12" si="2">($C$12+$C$12*E8)</f>
        <v>840.57696082193581</v>
      </c>
      <c r="F12">
        <f t="shared" si="2"/>
        <v>868.61450521796178</v>
      </c>
      <c r="G12">
        <f t="shared" si="2"/>
        <v>869.43856180622845</v>
      </c>
      <c r="H12">
        <f t="shared" si="2"/>
        <v>889.37288308429879</v>
      </c>
    </row>
    <row r="13" spans="1:32" x14ac:dyDescent="0.25">
      <c r="A13" s="4"/>
    </row>
    <row r="14" spans="1:32" x14ac:dyDescent="0.25">
      <c r="A14" s="4"/>
    </row>
    <row r="15" spans="1:32" x14ac:dyDescent="0.25">
      <c r="A15" s="21" t="s">
        <v>66</v>
      </c>
    </row>
    <row r="16" spans="1:32" s="1" customFormat="1" x14ac:dyDescent="0.25">
      <c r="A16" s="21" t="s">
        <v>1</v>
      </c>
      <c r="B16" s="1">
        <v>2020</v>
      </c>
      <c r="C16" s="1">
        <v>2021</v>
      </c>
      <c r="D16" s="1">
        <v>2022</v>
      </c>
      <c r="E16" s="1">
        <v>2023</v>
      </c>
      <c r="F16" s="1">
        <v>2024</v>
      </c>
      <c r="G16" s="1">
        <v>2025</v>
      </c>
      <c r="H16" s="1">
        <v>2026</v>
      </c>
      <c r="I16" s="1">
        <v>2027</v>
      </c>
      <c r="J16" s="1">
        <v>2028</v>
      </c>
      <c r="K16" s="1">
        <v>2029</v>
      </c>
      <c r="L16" s="1">
        <v>2030</v>
      </c>
      <c r="M16" s="1">
        <v>2031</v>
      </c>
      <c r="N16" s="1">
        <v>2032</v>
      </c>
      <c r="O16" s="1">
        <v>2033</v>
      </c>
      <c r="P16" s="1">
        <v>2034</v>
      </c>
      <c r="Q16" s="1">
        <v>2035</v>
      </c>
      <c r="R16" s="1">
        <v>2036</v>
      </c>
      <c r="S16" s="1">
        <v>2037</v>
      </c>
      <c r="T16" s="1">
        <v>2038</v>
      </c>
      <c r="U16" s="1">
        <v>2039</v>
      </c>
      <c r="V16" s="1">
        <v>2040</v>
      </c>
      <c r="W16" s="1">
        <v>2041</v>
      </c>
      <c r="X16" s="1">
        <v>2042</v>
      </c>
      <c r="Y16" s="1">
        <v>2043</v>
      </c>
      <c r="Z16" s="1">
        <v>2044</v>
      </c>
      <c r="AA16" s="1">
        <v>2045</v>
      </c>
      <c r="AB16" s="1">
        <v>2046</v>
      </c>
      <c r="AC16" s="1">
        <v>2047</v>
      </c>
      <c r="AD16" s="1">
        <v>2048</v>
      </c>
      <c r="AE16" s="1">
        <v>2049</v>
      </c>
      <c r="AF16" s="1">
        <v>2050</v>
      </c>
    </row>
    <row r="17" spans="1:32" x14ac:dyDescent="0.25">
      <c r="A17" s="4" t="s">
        <v>67</v>
      </c>
      <c r="B17">
        <f>B3</f>
        <v>665.08399999999995</v>
      </c>
      <c r="C17">
        <f t="shared" ref="C17:D17" si="3">C3</f>
        <v>882.47799999999995</v>
      </c>
      <c r="D17">
        <f t="shared" si="3"/>
        <v>805.69399999999996</v>
      </c>
      <c r="E17">
        <f>($D$17+($G$17-$D$17)*((E16-$D$16)/($G$16-$D$16)))</f>
        <v>806.72664032959744</v>
      </c>
      <c r="F17">
        <f>($D$17+($G$17-$D$17)*((F16-$D$16)/($G$16-$D$16)))</f>
        <v>807.75928065919481</v>
      </c>
      <c r="G17">
        <f>C12</f>
        <v>808.7919209887923</v>
      </c>
      <c r="H17">
        <f>($G$17+($L$17-$G$17)*((H16-$G$16)/($L$16-$G$16)))</f>
        <v>810.70294745777267</v>
      </c>
      <c r="I17">
        <f t="shared" ref="I17:K17" si="4">($G$17+($L$17-$G$17)*((I16-$G$16)/($L$16-$G$16)))</f>
        <v>812.61397392675303</v>
      </c>
      <c r="J17">
        <f t="shared" si="4"/>
        <v>814.52500039573329</v>
      </c>
      <c r="K17">
        <f t="shared" si="4"/>
        <v>816.43602686471365</v>
      </c>
      <c r="L17">
        <f>D12</f>
        <v>818.34705333369402</v>
      </c>
      <c r="M17">
        <f>($L$17+($Q$17-$L$17)*((M16-$L$16)/($Q$16-$L$16)))</f>
        <v>822.79303483134242</v>
      </c>
      <c r="N17">
        <f>($L$17+($Q$17-$L$17)*((N16-$L$16)/($Q$16-$L$16)))</f>
        <v>827.23901632899072</v>
      </c>
      <c r="O17">
        <f>($L$17+($Q$17-$L$17)*((O16-$L$16)/($Q$16-$L$16)))</f>
        <v>831.68499782663912</v>
      </c>
      <c r="P17">
        <f>($L$17+($Q$17-$L$17)*((P16-$L$16)/($Q$16-$L$16)))</f>
        <v>836.13097932428741</v>
      </c>
      <c r="Q17">
        <f>E12</f>
        <v>840.57696082193581</v>
      </c>
      <c r="R17">
        <f>($Q$17+($V$17-$Q$17)*((R16-$Q$16)/($V$16-$Q$16)))</f>
        <v>846.18446970114098</v>
      </c>
      <c r="S17">
        <f>($Q$17+($V$17-$Q$17)*((S16-$Q$16)/($V$16-$Q$16)))</f>
        <v>851.79197858034615</v>
      </c>
      <c r="T17">
        <f>($Q$17+($V$17-$Q$17)*((T16-$Q$16)/($V$16-$Q$16)))</f>
        <v>857.39948745955144</v>
      </c>
      <c r="U17">
        <f>($Q$17+($V$17-$Q$17)*((U16-$Q$16)/($V$16-$Q$16)))</f>
        <v>863.00699633875661</v>
      </c>
      <c r="V17">
        <f>F12</f>
        <v>868.61450521796178</v>
      </c>
      <c r="W17">
        <f>($V$17+($AA$17-$V$17)*((W16-$V$16)/($AA$16-$V$16)))</f>
        <v>868.77931653561507</v>
      </c>
      <c r="X17">
        <f t="shared" ref="X17:Z17" si="5">($V$17+($AA$17-$V$17)*((X16-$V$16)/($AA$16-$V$16)))</f>
        <v>868.94412785326847</v>
      </c>
      <c r="Y17">
        <f t="shared" si="5"/>
        <v>869.10893917092176</v>
      </c>
      <c r="Z17">
        <f t="shared" si="5"/>
        <v>869.27375048857516</v>
      </c>
      <c r="AA17">
        <f>G12</f>
        <v>869.43856180622845</v>
      </c>
      <c r="AB17">
        <f>($AA$17+($AF$17-$AA$17)*((AB16-$AA$16)/($AF$16-$AA$16)))</f>
        <v>873.42542606184247</v>
      </c>
      <c r="AC17">
        <f t="shared" ref="AC17:AE17" si="6">($AA$17+($AF$17-$AA$17)*((AC16-$AA$16)/($AF$16-$AA$16)))</f>
        <v>877.41229031745661</v>
      </c>
      <c r="AD17">
        <f t="shared" si="6"/>
        <v>881.39915457307063</v>
      </c>
      <c r="AE17">
        <f t="shared" si="6"/>
        <v>885.38601882868477</v>
      </c>
      <c r="AF17">
        <f>H12</f>
        <v>889.37288308429879</v>
      </c>
    </row>
    <row r="18" spans="1:32" x14ac:dyDescent="0.25">
      <c r="A18" s="4"/>
    </row>
    <row r="19" spans="1:32" x14ac:dyDescent="0.25">
      <c r="A19" s="26" t="s">
        <v>70</v>
      </c>
      <c r="B19" s="26"/>
    </row>
    <row r="20" spans="1:32" x14ac:dyDescent="0.25">
      <c r="A20" s="22" t="s">
        <v>71</v>
      </c>
      <c r="B20" s="23">
        <v>0.3</v>
      </c>
    </row>
    <row r="21" spans="1:32" x14ac:dyDescent="0.25">
      <c r="A21" s="4"/>
    </row>
    <row r="22" spans="1:32" x14ac:dyDescent="0.25">
      <c r="A22" s="21" t="s">
        <v>72</v>
      </c>
    </row>
    <row r="23" spans="1:32" s="1" customFormat="1" x14ac:dyDescent="0.25">
      <c r="A23" s="21" t="str">
        <f>A16</f>
        <v>Year</v>
      </c>
      <c r="B23" s="17">
        <f t="shared" ref="B23:AF23" si="7">B16</f>
        <v>2020</v>
      </c>
      <c r="C23" s="17">
        <f t="shared" si="7"/>
        <v>2021</v>
      </c>
      <c r="D23" s="17">
        <f t="shared" si="7"/>
        <v>2022</v>
      </c>
      <c r="E23" s="17">
        <f t="shared" si="7"/>
        <v>2023</v>
      </c>
      <c r="F23" s="17">
        <f t="shared" si="7"/>
        <v>2024</v>
      </c>
      <c r="G23" s="17">
        <f t="shared" si="7"/>
        <v>2025</v>
      </c>
      <c r="H23" s="17">
        <f t="shared" si="7"/>
        <v>2026</v>
      </c>
      <c r="I23" s="17">
        <f t="shared" si="7"/>
        <v>2027</v>
      </c>
      <c r="J23" s="17">
        <f t="shared" si="7"/>
        <v>2028</v>
      </c>
      <c r="K23" s="17">
        <f t="shared" si="7"/>
        <v>2029</v>
      </c>
      <c r="L23" s="17">
        <f t="shared" si="7"/>
        <v>2030</v>
      </c>
      <c r="M23" s="17">
        <f t="shared" si="7"/>
        <v>2031</v>
      </c>
      <c r="N23" s="17">
        <f t="shared" si="7"/>
        <v>2032</v>
      </c>
      <c r="O23" s="17">
        <f t="shared" si="7"/>
        <v>2033</v>
      </c>
      <c r="P23" s="17">
        <f t="shared" si="7"/>
        <v>2034</v>
      </c>
      <c r="Q23" s="17">
        <f t="shared" si="7"/>
        <v>2035</v>
      </c>
      <c r="R23" s="17">
        <f t="shared" si="7"/>
        <v>2036</v>
      </c>
      <c r="S23" s="17">
        <f t="shared" si="7"/>
        <v>2037</v>
      </c>
      <c r="T23" s="17">
        <f t="shared" si="7"/>
        <v>2038</v>
      </c>
      <c r="U23" s="17">
        <f t="shared" si="7"/>
        <v>2039</v>
      </c>
      <c r="V23" s="17">
        <f t="shared" si="7"/>
        <v>2040</v>
      </c>
      <c r="W23" s="17">
        <f t="shared" si="7"/>
        <v>2041</v>
      </c>
      <c r="X23" s="17">
        <f t="shared" si="7"/>
        <v>2042</v>
      </c>
      <c r="Y23" s="17">
        <f t="shared" si="7"/>
        <v>2043</v>
      </c>
      <c r="Z23" s="17">
        <f t="shared" si="7"/>
        <v>2044</v>
      </c>
      <c r="AA23" s="17">
        <f t="shared" si="7"/>
        <v>2045</v>
      </c>
      <c r="AB23" s="17">
        <f t="shared" si="7"/>
        <v>2046</v>
      </c>
      <c r="AC23" s="17">
        <f t="shared" si="7"/>
        <v>2047</v>
      </c>
      <c r="AD23" s="17">
        <f t="shared" si="7"/>
        <v>2048</v>
      </c>
      <c r="AE23" s="17">
        <f t="shared" si="7"/>
        <v>2049</v>
      </c>
      <c r="AF23" s="17">
        <f t="shared" si="7"/>
        <v>2050</v>
      </c>
    </row>
    <row r="24" spans="1:32" x14ac:dyDescent="0.25">
      <c r="A24" s="4" t="str">
        <f>A17</f>
        <v>Land use emissions (Mt CO2e)</v>
      </c>
      <c r="B24" s="13">
        <f t="shared" ref="B24:AF24" si="8">B17</f>
        <v>665.08399999999995</v>
      </c>
      <c r="C24" s="13">
        <f t="shared" si="8"/>
        <v>882.47799999999995</v>
      </c>
      <c r="D24" s="13">
        <f t="shared" si="8"/>
        <v>805.69399999999996</v>
      </c>
      <c r="E24" s="13">
        <f t="shared" si="8"/>
        <v>806.72664032959744</v>
      </c>
      <c r="F24" s="13">
        <f t="shared" si="8"/>
        <v>807.75928065919481</v>
      </c>
      <c r="G24" s="13">
        <f t="shared" si="8"/>
        <v>808.7919209887923</v>
      </c>
      <c r="H24" s="13">
        <f t="shared" si="8"/>
        <v>810.70294745777267</v>
      </c>
      <c r="I24" s="13">
        <f t="shared" si="8"/>
        <v>812.61397392675303</v>
      </c>
      <c r="J24" s="13">
        <f t="shared" si="8"/>
        <v>814.52500039573329</v>
      </c>
      <c r="K24" s="13">
        <f t="shared" si="8"/>
        <v>816.43602686471365</v>
      </c>
      <c r="L24" s="13">
        <f t="shared" si="8"/>
        <v>818.34705333369402</v>
      </c>
      <c r="M24" s="13">
        <f t="shared" si="8"/>
        <v>822.79303483134242</v>
      </c>
      <c r="N24" s="13">
        <f t="shared" si="8"/>
        <v>827.23901632899072</v>
      </c>
      <c r="O24" s="13">
        <f t="shared" si="8"/>
        <v>831.68499782663912</v>
      </c>
      <c r="P24" s="13">
        <f t="shared" si="8"/>
        <v>836.13097932428741</v>
      </c>
      <c r="Q24" s="13">
        <f t="shared" si="8"/>
        <v>840.57696082193581</v>
      </c>
      <c r="R24" s="13">
        <f t="shared" si="8"/>
        <v>846.18446970114098</v>
      </c>
      <c r="S24" s="13">
        <f t="shared" si="8"/>
        <v>851.79197858034615</v>
      </c>
      <c r="T24" s="13">
        <f t="shared" si="8"/>
        <v>857.39948745955144</v>
      </c>
      <c r="U24" s="13">
        <f t="shared" si="8"/>
        <v>863.00699633875661</v>
      </c>
      <c r="V24" s="13">
        <f t="shared" si="8"/>
        <v>868.61450521796178</v>
      </c>
      <c r="W24" s="13">
        <f t="shared" si="8"/>
        <v>868.77931653561507</v>
      </c>
      <c r="X24" s="13">
        <f t="shared" si="8"/>
        <v>868.94412785326847</v>
      </c>
      <c r="Y24" s="13">
        <f t="shared" si="8"/>
        <v>869.10893917092176</v>
      </c>
      <c r="Z24" s="13">
        <f t="shared" si="8"/>
        <v>869.27375048857516</v>
      </c>
      <c r="AA24" s="13">
        <f t="shared" si="8"/>
        <v>869.43856180622845</v>
      </c>
      <c r="AB24" s="13">
        <f t="shared" si="8"/>
        <v>873.42542606184247</v>
      </c>
      <c r="AC24" s="13">
        <f t="shared" si="8"/>
        <v>877.41229031745661</v>
      </c>
      <c r="AD24" s="13">
        <f t="shared" si="8"/>
        <v>881.39915457307063</v>
      </c>
      <c r="AE24" s="13">
        <f t="shared" si="8"/>
        <v>885.38601882868477</v>
      </c>
      <c r="AF24" s="13">
        <f t="shared" si="8"/>
        <v>889.37288308429879</v>
      </c>
    </row>
    <row r="25" spans="1:32" x14ac:dyDescent="0.25">
      <c r="A25" s="4" t="s">
        <v>73</v>
      </c>
      <c r="B25">
        <f>B24</f>
        <v>665.08399999999995</v>
      </c>
      <c r="C25">
        <f>$B$20*C24+(1-$B$20)*B25</f>
        <v>730.30219999999986</v>
      </c>
      <c r="D25">
        <f t="shared" ref="D25:AF25" si="9">$B$20*D24+(1-$B$20)*C25</f>
        <v>752.91973999999982</v>
      </c>
      <c r="E25">
        <f t="shared" si="9"/>
        <v>769.06181009887905</v>
      </c>
      <c r="F25">
        <f t="shared" si="9"/>
        <v>780.67105126697368</v>
      </c>
      <c r="G25">
        <f t="shared" si="9"/>
        <v>789.10731218351918</v>
      </c>
      <c r="H25">
        <f t="shared" si="9"/>
        <v>795.58600276579523</v>
      </c>
      <c r="I25">
        <f t="shared" si="9"/>
        <v>800.69439411408257</v>
      </c>
      <c r="J25">
        <f t="shared" si="9"/>
        <v>804.84357599857765</v>
      </c>
      <c r="K25">
        <f t="shared" si="9"/>
        <v>808.3213112584184</v>
      </c>
      <c r="L25">
        <f t="shared" si="9"/>
        <v>811.32903388100101</v>
      </c>
      <c r="M25">
        <f t="shared" si="9"/>
        <v>814.76823416610341</v>
      </c>
      <c r="N25">
        <f t="shared" si="9"/>
        <v>818.50946881496952</v>
      </c>
      <c r="O25">
        <f t="shared" si="9"/>
        <v>822.46212751847042</v>
      </c>
      <c r="P25">
        <f t="shared" si="9"/>
        <v>826.56278306021545</v>
      </c>
      <c r="Q25">
        <f t="shared" si="9"/>
        <v>830.76703638873153</v>
      </c>
      <c r="R25">
        <f t="shared" si="9"/>
        <v>835.3922663824543</v>
      </c>
      <c r="S25">
        <f t="shared" si="9"/>
        <v>840.31218004182188</v>
      </c>
      <c r="T25">
        <f t="shared" si="9"/>
        <v>845.43837226714072</v>
      </c>
      <c r="U25">
        <f t="shared" si="9"/>
        <v>850.7089594886254</v>
      </c>
      <c r="V25">
        <f t="shared" si="9"/>
        <v>856.08062320742624</v>
      </c>
      <c r="W25">
        <f t="shared" si="9"/>
        <v>859.89023120588286</v>
      </c>
      <c r="X25">
        <f t="shared" si="9"/>
        <v>862.60640020009851</v>
      </c>
      <c r="Y25">
        <f t="shared" si="9"/>
        <v>864.55716189134546</v>
      </c>
      <c r="Z25">
        <f t="shared" si="9"/>
        <v>865.97213847051432</v>
      </c>
      <c r="AA25">
        <f t="shared" si="9"/>
        <v>867.01206547122842</v>
      </c>
      <c r="AB25">
        <f t="shared" si="9"/>
        <v>868.9360736484125</v>
      </c>
      <c r="AC25">
        <f t="shared" si="9"/>
        <v>871.47893864912567</v>
      </c>
      <c r="AD25">
        <f t="shared" si="9"/>
        <v>874.45500342630908</v>
      </c>
      <c r="AE25">
        <f t="shared" si="9"/>
        <v>877.73430804702184</v>
      </c>
      <c r="AF25">
        <f t="shared" si="9"/>
        <v>881.22588055820484</v>
      </c>
    </row>
    <row r="26" spans="1:32" x14ac:dyDescent="0.25">
      <c r="A26" s="4" t="s">
        <v>75</v>
      </c>
      <c r="B26">
        <f>B25*$B$27</f>
        <v>665084000000000</v>
      </c>
      <c r="C26">
        <f t="shared" ref="C26:AF26" si="10">C25*$B$27</f>
        <v>730302199999999.87</v>
      </c>
      <c r="D26">
        <f t="shared" si="10"/>
        <v>752919739999999.87</v>
      </c>
      <c r="E26">
        <f t="shared" si="10"/>
        <v>769061810098879</v>
      </c>
      <c r="F26">
        <f t="shared" si="10"/>
        <v>780671051266973.62</v>
      </c>
      <c r="G26">
        <f t="shared" si="10"/>
        <v>789107312183519.12</v>
      </c>
      <c r="H26">
        <f t="shared" si="10"/>
        <v>795586002765795.25</v>
      </c>
      <c r="I26">
        <f t="shared" si="10"/>
        <v>800694394114082.62</v>
      </c>
      <c r="J26">
        <f t="shared" si="10"/>
        <v>804843575998577.62</v>
      </c>
      <c r="K26">
        <f t="shared" si="10"/>
        <v>808321311258418.37</v>
      </c>
      <c r="L26">
        <f t="shared" si="10"/>
        <v>811329033881001</v>
      </c>
      <c r="M26">
        <f t="shared" si="10"/>
        <v>814768234166103.37</v>
      </c>
      <c r="N26">
        <f t="shared" si="10"/>
        <v>818509468814969.5</v>
      </c>
      <c r="O26">
        <f t="shared" si="10"/>
        <v>822462127518470.37</v>
      </c>
      <c r="P26">
        <f t="shared" si="10"/>
        <v>826562783060215.5</v>
      </c>
      <c r="Q26">
        <f t="shared" si="10"/>
        <v>830767036388731.5</v>
      </c>
      <c r="R26">
        <f t="shared" si="10"/>
        <v>835392266382454.25</v>
      </c>
      <c r="S26">
        <f t="shared" si="10"/>
        <v>840312180041821.87</v>
      </c>
      <c r="T26">
        <f t="shared" si="10"/>
        <v>845438372267140.75</v>
      </c>
      <c r="U26">
        <f t="shared" si="10"/>
        <v>850708959488625.37</v>
      </c>
      <c r="V26">
        <f t="shared" si="10"/>
        <v>856080623207426.25</v>
      </c>
      <c r="W26">
        <f t="shared" si="10"/>
        <v>859890231205882.87</v>
      </c>
      <c r="X26">
        <f t="shared" si="10"/>
        <v>862606400200098.5</v>
      </c>
      <c r="Y26">
        <f t="shared" si="10"/>
        <v>864557161891345.5</v>
      </c>
      <c r="Z26">
        <f t="shared" si="10"/>
        <v>865972138470514.37</v>
      </c>
      <c r="AA26">
        <f t="shared" si="10"/>
        <v>867012065471228.37</v>
      </c>
      <c r="AB26">
        <f t="shared" si="10"/>
        <v>868936073648412.5</v>
      </c>
      <c r="AC26">
        <f t="shared" si="10"/>
        <v>871478938649125.62</v>
      </c>
      <c r="AD26">
        <f t="shared" si="10"/>
        <v>874455003426309.12</v>
      </c>
      <c r="AE26">
        <f t="shared" si="10"/>
        <v>877734308047021.87</v>
      </c>
      <c r="AF26">
        <f t="shared" si="10"/>
        <v>881225880558204.87</v>
      </c>
    </row>
    <row r="27" spans="1:32" x14ac:dyDescent="0.25">
      <c r="A27" s="24" t="s">
        <v>74</v>
      </c>
      <c r="B27" s="25">
        <v>1000000000000</v>
      </c>
    </row>
    <row r="28" spans="1:32" x14ac:dyDescent="0.25">
      <c r="A28" s="4"/>
    </row>
    <row r="29" spans="1:32" x14ac:dyDescent="0.25">
      <c r="A29" s="4"/>
    </row>
    <row r="30" spans="1:32" x14ac:dyDescent="0.25">
      <c r="A30" s="4"/>
    </row>
    <row r="31" spans="1:32" x14ac:dyDescent="0.25">
      <c r="A31" s="4"/>
    </row>
  </sheetData>
  <mergeCells count="1">
    <mergeCell ref="A19:B19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9"/>
  <sheetViews>
    <sheetView zoomScale="99" workbookViewId="0">
      <selection activeCell="AD11" sqref="AD11"/>
    </sheetView>
  </sheetViews>
  <sheetFormatPr baseColWidth="10" defaultRowHeight="15" x14ac:dyDescent="0.25"/>
  <cols>
    <col min="1" max="1" width="34.42578125" customWidth="1"/>
    <col min="2" max="11" width="14.140625" customWidth="1"/>
    <col min="12" max="12" width="12.140625" customWidth="1"/>
    <col min="13" max="13" width="10.85546875" customWidth="1"/>
    <col min="14" max="17" width="14.140625" customWidth="1"/>
    <col min="18" max="18" width="11.85546875" bestFit="1" customWidth="1"/>
    <col min="19" max="19" width="11" bestFit="1" customWidth="1"/>
    <col min="20" max="31" width="11.85546875" bestFit="1" customWidth="1"/>
    <col min="32" max="32" width="11" bestFit="1" customWidth="1"/>
    <col min="33" max="34" width="11.85546875" bestFit="1" customWidth="1"/>
  </cols>
  <sheetData>
    <row r="1" spans="1:62" s="1" customFormat="1" x14ac:dyDescent="0.25">
      <c r="A1" s="15" t="s">
        <v>1</v>
      </c>
      <c r="B1" s="17">
        <v>2020</v>
      </c>
      <c r="C1" s="17">
        <v>2021</v>
      </c>
      <c r="D1" s="17">
        <v>2022</v>
      </c>
      <c r="E1" s="17">
        <v>2023</v>
      </c>
      <c r="F1" s="17">
        <v>2024</v>
      </c>
      <c r="G1" s="17">
        <v>2025</v>
      </c>
      <c r="H1" s="17">
        <v>2026</v>
      </c>
      <c r="I1" s="17">
        <v>2027</v>
      </c>
      <c r="J1" s="17">
        <v>2028</v>
      </c>
      <c r="K1" s="17">
        <v>2029</v>
      </c>
      <c r="L1" s="17">
        <v>2030</v>
      </c>
      <c r="M1" s="17">
        <v>2031</v>
      </c>
      <c r="N1" s="17">
        <v>2032</v>
      </c>
      <c r="O1" s="17">
        <v>2033</v>
      </c>
      <c r="P1" s="17">
        <v>2034</v>
      </c>
      <c r="Q1" s="17">
        <v>2035</v>
      </c>
      <c r="R1" s="17">
        <v>2036</v>
      </c>
      <c r="S1" s="17">
        <v>2037</v>
      </c>
      <c r="T1" s="17">
        <v>2038</v>
      </c>
      <c r="U1" s="17">
        <v>2039</v>
      </c>
      <c r="V1" s="17">
        <v>2040</v>
      </c>
      <c r="W1" s="17">
        <v>2041</v>
      </c>
      <c r="X1" s="17">
        <v>2042</v>
      </c>
      <c r="Y1" s="17">
        <v>2043</v>
      </c>
      <c r="Z1" s="17">
        <v>2044</v>
      </c>
      <c r="AA1" s="17">
        <v>2045</v>
      </c>
      <c r="AB1" s="17">
        <v>2046</v>
      </c>
      <c r="AC1" s="17">
        <v>2047</v>
      </c>
      <c r="AD1" s="17">
        <v>2048</v>
      </c>
      <c r="AE1" s="17">
        <v>2049</v>
      </c>
      <c r="AF1" s="17">
        <v>2050</v>
      </c>
    </row>
    <row r="2" spans="1:62" x14ac:dyDescent="0.25">
      <c r="A2" s="15" t="s">
        <v>65</v>
      </c>
      <c r="B2" s="3">
        <f>'EPE-Land use emissions'!B26</f>
        <v>665084000000000</v>
      </c>
      <c r="C2" s="3">
        <f>'EPE-Land use emissions'!C26</f>
        <v>730302199999999.87</v>
      </c>
      <c r="D2" s="3">
        <f>'EPE-Land use emissions'!D26</f>
        <v>752919739999999.87</v>
      </c>
      <c r="E2" s="3">
        <f>'EPE-Land use emissions'!E26</f>
        <v>769061810098879</v>
      </c>
      <c r="F2" s="3">
        <f>'EPE-Land use emissions'!F26</f>
        <v>780671051266973.62</v>
      </c>
      <c r="G2" s="3">
        <f>'EPE-Land use emissions'!G26</f>
        <v>789107312183519.12</v>
      </c>
      <c r="H2" s="3">
        <f>'EPE-Land use emissions'!H26</f>
        <v>795586002765795.25</v>
      </c>
      <c r="I2" s="3">
        <f>'EPE-Land use emissions'!I26</f>
        <v>800694394114082.62</v>
      </c>
      <c r="J2" s="3">
        <f>'EPE-Land use emissions'!J26</f>
        <v>804843575998577.62</v>
      </c>
      <c r="K2" s="3">
        <f>'EPE-Land use emissions'!K26</f>
        <v>808321311258418.37</v>
      </c>
      <c r="L2" s="3">
        <f>'EPE-Land use emissions'!L26</f>
        <v>811329033881001</v>
      </c>
      <c r="M2" s="3">
        <f>'EPE-Land use emissions'!M26</f>
        <v>814768234166103.37</v>
      </c>
      <c r="N2" s="3">
        <f>'EPE-Land use emissions'!N26</f>
        <v>818509468814969.5</v>
      </c>
      <c r="O2" s="3">
        <f>'EPE-Land use emissions'!O26</f>
        <v>822462127518470.37</v>
      </c>
      <c r="P2" s="3">
        <f>'EPE-Land use emissions'!P26</f>
        <v>826562783060215.5</v>
      </c>
      <c r="Q2" s="3">
        <f>'EPE-Land use emissions'!Q26</f>
        <v>830767036388731.5</v>
      </c>
      <c r="R2" s="3">
        <f>'EPE-Land use emissions'!R26</f>
        <v>835392266382454.25</v>
      </c>
      <c r="S2" s="3">
        <f>'EPE-Land use emissions'!S26</f>
        <v>840312180041821.87</v>
      </c>
      <c r="T2" s="3">
        <f>'EPE-Land use emissions'!T26</f>
        <v>845438372267140.75</v>
      </c>
      <c r="U2" s="3">
        <f>'EPE-Land use emissions'!U26</f>
        <v>850708959488625.37</v>
      </c>
      <c r="V2" s="3">
        <f>'EPE-Land use emissions'!V26</f>
        <v>856080623207426.25</v>
      </c>
      <c r="W2" s="3">
        <f>'EPE-Land use emissions'!W26</f>
        <v>859890231205882.87</v>
      </c>
      <c r="X2" s="3">
        <f>'EPE-Land use emissions'!X26</f>
        <v>862606400200098.5</v>
      </c>
      <c r="Y2" s="3">
        <f>'EPE-Land use emissions'!Y26</f>
        <v>864557161891345.5</v>
      </c>
      <c r="Z2" s="3">
        <f>'EPE-Land use emissions'!Z26</f>
        <v>865972138470514.37</v>
      </c>
      <c r="AA2" s="3">
        <f>'EPE-Land use emissions'!AA26</f>
        <v>867012065471228.37</v>
      </c>
      <c r="AB2" s="3">
        <f>'EPE-Land use emissions'!AB26</f>
        <v>868936073648412.5</v>
      </c>
      <c r="AC2" s="3">
        <f>'EPE-Land use emissions'!AC26</f>
        <v>871478938649125.62</v>
      </c>
      <c r="AD2" s="3">
        <f>'EPE-Land use emissions'!AD26</f>
        <v>874455003426309.12</v>
      </c>
      <c r="AE2" s="3">
        <f>'EPE-Land use emissions'!AE26</f>
        <v>877734308047021.87</v>
      </c>
      <c r="AF2" s="3">
        <f>'EPE-Land use emissions'!AF26</f>
        <v>881225880558204.87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1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</row>
    <row r="4" spans="1:62" x14ac:dyDescent="0.25">
      <c r="A4" s="1" t="s">
        <v>1</v>
      </c>
      <c r="B4" s="17">
        <v>2020</v>
      </c>
      <c r="C4" s="17">
        <v>2021</v>
      </c>
      <c r="D4" s="17">
        <v>2022</v>
      </c>
      <c r="E4" s="17">
        <v>2023</v>
      </c>
      <c r="F4" s="17">
        <v>2024</v>
      </c>
      <c r="G4" s="17">
        <v>2025</v>
      </c>
      <c r="H4" s="17">
        <v>2026</v>
      </c>
      <c r="I4" s="17">
        <v>2027</v>
      </c>
      <c r="J4" s="17">
        <v>2028</v>
      </c>
      <c r="K4" s="17">
        <v>2029</v>
      </c>
      <c r="L4" s="17">
        <v>2030</v>
      </c>
      <c r="M4" s="17">
        <v>2031</v>
      </c>
      <c r="N4" s="17">
        <v>2032</v>
      </c>
      <c r="O4" s="17">
        <v>2033</v>
      </c>
      <c r="P4" s="17">
        <v>2034</v>
      </c>
      <c r="Q4" s="17">
        <v>2035</v>
      </c>
      <c r="R4" s="17">
        <v>2036</v>
      </c>
      <c r="S4" s="17">
        <v>2037</v>
      </c>
      <c r="T4" s="17">
        <v>2038</v>
      </c>
      <c r="U4" s="17">
        <v>2039</v>
      </c>
      <c r="V4" s="17">
        <v>2040</v>
      </c>
      <c r="W4" s="17">
        <v>2041</v>
      </c>
      <c r="X4" s="17">
        <v>2042</v>
      </c>
      <c r="Y4" s="17">
        <v>2043</v>
      </c>
      <c r="Z4" s="17">
        <v>2044</v>
      </c>
      <c r="AA4" s="17">
        <v>2045</v>
      </c>
      <c r="AB4" s="17">
        <v>2046</v>
      </c>
      <c r="AC4" s="17">
        <v>2047</v>
      </c>
      <c r="AD4" s="17">
        <v>2048</v>
      </c>
      <c r="AE4" s="17">
        <v>2049</v>
      </c>
      <c r="AF4" s="17">
        <v>2050</v>
      </c>
      <c r="AW4" s="17"/>
      <c r="AX4" s="17"/>
      <c r="AY4" s="17"/>
      <c r="AZ4" s="17"/>
      <c r="BA4" s="17"/>
      <c r="BB4" s="17"/>
      <c r="BC4" s="17"/>
      <c r="BD4" s="17"/>
      <c r="BE4" s="13"/>
      <c r="BF4" s="13"/>
      <c r="BG4" s="13"/>
      <c r="BH4" s="13"/>
      <c r="BI4" s="13"/>
      <c r="BJ4" s="13"/>
    </row>
    <row r="5" spans="1:62" x14ac:dyDescent="0.25">
      <c r="A5" s="15" t="s">
        <v>57</v>
      </c>
      <c r="B5" s="20">
        <f>B2*'Share of Pollutants'!$B$17</f>
        <v>662106412018444.87</v>
      </c>
      <c r="C5" s="20">
        <f>C2*'Share of Pollutants'!$B$17</f>
        <v>727032629459101</v>
      </c>
      <c r="D5" s="20">
        <f>D2*'Share of Pollutants'!$B$17</f>
        <v>749548910497411.37</v>
      </c>
      <c r="E5" s="20">
        <f>E2*'Share of Pollutants'!$B$17</f>
        <v>765618712380660.87</v>
      </c>
      <c r="F5" s="20">
        <f>F2*'Share of Pollutants'!$B$17</f>
        <v>777175978855367.75</v>
      </c>
      <c r="G5" s="20">
        <f>G2*'Share of Pollutants'!$B$17</f>
        <v>785574470544094.87</v>
      </c>
      <c r="H5" s="20">
        <f>H2*'Share of Pollutants'!$B$17</f>
        <v>792024155961288</v>
      </c>
      <c r="I5" s="20">
        <f>I2*'Share of Pollutants'!$B$17</f>
        <v>797109676988407.37</v>
      </c>
      <c r="J5" s="20">
        <f>J2*'Share of Pollutants'!$B$17</f>
        <v>801240282942474.62</v>
      </c>
      <c r="K5" s="20">
        <f>K2*'Share of Pollutants'!$B$17</f>
        <v>804702448345406</v>
      </c>
      <c r="L5" s="20">
        <f>L2*'Share of Pollutants'!$B$17</f>
        <v>807696705362542</v>
      </c>
      <c r="M5" s="20">
        <f>M2*'Share of Pollutants'!$B$17</f>
        <v>811120508312217.5</v>
      </c>
      <c r="N5" s="20">
        <f>N2*'Share of Pollutants'!$B$17</f>
        <v>814844993414670.5</v>
      </c>
      <c r="O5" s="20">
        <f>O2*'Share of Pollutants'!$B$17</f>
        <v>818779956024067.87</v>
      </c>
      <c r="P5" s="20">
        <f>P2*'Share of Pollutants'!$B$17</f>
        <v>822862252888326.25</v>
      </c>
      <c r="Q5" s="20">
        <f>Q2*'Share of Pollutants'!$B$17</f>
        <v>827047683730987.25</v>
      </c>
      <c r="R5" s="20">
        <f>R2*'Share of Pollutants'!$B$17</f>
        <v>831652206521948.75</v>
      </c>
      <c r="S5" s="20">
        <f>S2*'Share of Pollutants'!$B$17</f>
        <v>836550093676720.87</v>
      </c>
      <c r="T5" s="20">
        <f>T2*'Share of Pollutants'!$B$17</f>
        <v>841653335886160.12</v>
      </c>
      <c r="U5" s="20">
        <f>U2*'Share of Pollutants'!$B$17</f>
        <v>846900326633866.37</v>
      </c>
      <c r="V5" s="20">
        <f>V2*'Share of Pollutants'!$B$17</f>
        <v>852247941358359.62</v>
      </c>
      <c r="W5" s="20">
        <f>W2*'Share of Pollutants'!$B$17</f>
        <v>856040493702206.25</v>
      </c>
      <c r="X5" s="20">
        <f>X2*'Share of Pollutants'!$B$17</f>
        <v>858744502379600.25</v>
      </c>
      <c r="Y5" s="20">
        <f>Y2*'Share of Pollutants'!$B$17</f>
        <v>860686530490477.25</v>
      </c>
      <c r="Z5" s="20">
        <f>Z2*'Share of Pollutants'!$B$17</f>
        <v>862095172204792.5</v>
      </c>
      <c r="AA5" s="20">
        <f>AA2*'Share of Pollutants'!$B$17</f>
        <v>863130443441514.25</v>
      </c>
      <c r="AB5" s="20">
        <f>AB2*'Share of Pollutants'!$B$17</f>
        <v>865045837814089.12</v>
      </c>
      <c r="AC5" s="20">
        <f>AC2*'Share of Pollutants'!$B$17</f>
        <v>867577318381760.87</v>
      </c>
      <c r="AD5" s="20">
        <f>AD2*'Share of Pollutants'!$B$17</f>
        <v>870540059286000.75</v>
      </c>
      <c r="AE5" s="20">
        <f>AE2*'Share of Pollutants'!$B$17</f>
        <v>873804682425838.12</v>
      </c>
      <c r="AF5" s="20">
        <f>AF2*'Share of Pollutants'!$B$17</f>
        <v>877280623130593.62</v>
      </c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x14ac:dyDescent="0.25">
      <c r="A6" s="15" t="s">
        <v>58</v>
      </c>
      <c r="B6" s="20">
        <f>B2*'Share of Pollutants'!$B$18</f>
        <v>2889173126627.4751</v>
      </c>
      <c r="C6" s="20">
        <f>C2*'Share of Pollutants'!$B$18</f>
        <v>3172485716927.3706</v>
      </c>
      <c r="D6" s="20">
        <f>D2*'Share of Pollutants'!$B$18</f>
        <v>3270737950868.3794</v>
      </c>
      <c r="E6" s="20">
        <f>E2*'Share of Pollutants'!$B$18</f>
        <v>3340860273970.1504</v>
      </c>
      <c r="F6" s="20">
        <f>F2*'Share of Pollutants'!$B$18</f>
        <v>3391291659484.4561</v>
      </c>
      <c r="G6" s="20">
        <f>G2*'Share of Pollutants'!$B$18</f>
        <v>3427939388687.5356</v>
      </c>
      <c r="H6" s="20">
        <f>H2*'Share of Pollutants'!$B$18</f>
        <v>3456083290399.2695</v>
      </c>
      <c r="I6" s="20">
        <f>I2*'Share of Pollutants'!$B$18</f>
        <v>3478274512867.0601</v>
      </c>
      <c r="J6" s="20">
        <f>J2*'Share of Pollutants'!$B$18</f>
        <v>3496298859864.0898</v>
      </c>
      <c r="K6" s="20">
        <f>K2*'Share of Pollutants'!$B$18</f>
        <v>3511406394031.5884</v>
      </c>
      <c r="L6" s="20">
        <f>L2*'Share of Pollutants'!$B$18</f>
        <v>3524472159218.415</v>
      </c>
      <c r="M6" s="20">
        <f>M2*'Share of Pollutants'!$B$18</f>
        <v>3539412294661.167</v>
      </c>
      <c r="N6" s="20">
        <f>N2*'Share of Pollutants'!$B$18</f>
        <v>3555664489283.0669</v>
      </c>
      <c r="O6" s="20">
        <f>O2*'Share of Pollutants'!$B$18</f>
        <v>3572835125330.3706</v>
      </c>
      <c r="P6" s="20">
        <f>P2*'Share of Pollutants'!$B$18</f>
        <v>3590648670375.4565</v>
      </c>
      <c r="Q6" s="20">
        <f>Q2*'Share of Pollutants'!$B$18</f>
        <v>3608912251718.9897</v>
      </c>
      <c r="R6" s="20">
        <f>R2*'Share of Pollutants'!$B$18</f>
        <v>3629004586224.6089</v>
      </c>
      <c r="S6" s="20">
        <f>S2*'Share of Pollutants'!$B$18</f>
        <v>3650377047943.6885</v>
      </c>
      <c r="T6" s="20">
        <f>T2*'Share of Pollutants'!$B$18</f>
        <v>3672645598712.1899</v>
      </c>
      <c r="U6" s="20">
        <f>U2*'Share of Pollutants'!$B$18</f>
        <v>3695541411815.2861</v>
      </c>
      <c r="V6" s="20">
        <f>V2*'Share of Pollutants'!$B$18</f>
        <v>3718876308552.5996</v>
      </c>
      <c r="W6" s="20">
        <f>W2*'Share of Pollutants'!$B$18</f>
        <v>3735425521963.4258</v>
      </c>
      <c r="X6" s="20">
        <f>X2*'Share of Pollutants'!$B$18</f>
        <v>3747224757045.7109</v>
      </c>
      <c r="Y6" s="20">
        <f>Y2*'Share of Pollutants'!$B$18</f>
        <v>3755699007298.0176</v>
      </c>
      <c r="Z6" s="20">
        <f>Z2*'Share of Pollutants'!$B$18</f>
        <v>3761845768169.3389</v>
      </c>
      <c r="AA6" s="20">
        <f>AA2*'Share of Pollutants'!$B$18</f>
        <v>3766363286473.9702</v>
      </c>
      <c r="AB6" s="20">
        <f>AB2*'Share of Pollutants'!$B$18</f>
        <v>3774721317521.0737</v>
      </c>
      <c r="AC6" s="20">
        <f>AC2*'Share of Pollutants'!$B$18</f>
        <v>3785767707487.9077</v>
      </c>
      <c r="AD6" s="20">
        <f>AD2*'Share of Pollutants'!$B$18</f>
        <v>3798695948698.5537</v>
      </c>
      <c r="AE6" s="20">
        <f>AE2*'Share of Pollutants'!$B$18</f>
        <v>3812941485779.8677</v>
      </c>
      <c r="AF6" s="20">
        <f>AF2*'Share of Pollutants'!$B$18</f>
        <v>3828109129970.6484</v>
      </c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x14ac:dyDescent="0.25">
      <c r="A7" s="15" t="s">
        <v>59</v>
      </c>
      <c r="B7" s="3">
        <f>B2*'Share of Pollutants'!$B$19</f>
        <v>88414854927.522171</v>
      </c>
      <c r="C7" s="3">
        <f>C2*'Share of Pollutants'!$B$19</f>
        <v>97084823971.483719</v>
      </c>
      <c r="D7" s="3">
        <f>D2*'Share of Pollutants'!$B$19</f>
        <v>100091551720.03491</v>
      </c>
      <c r="E7" s="3">
        <f>E2*'Share of Pollutants'!$B$19</f>
        <v>102237444247.92958</v>
      </c>
      <c r="F7" s="3">
        <f>F2*'Share of Pollutants'!$B$19</f>
        <v>103780752121.36467</v>
      </c>
      <c r="G7" s="3">
        <f>G2*'Share of Pollutants'!$B$19</f>
        <v>104902250736.67807</v>
      </c>
      <c r="H7" s="3">
        <f>H2*'Share of Pollutants'!$B$19</f>
        <v>105763514107.84959</v>
      </c>
      <c r="I7" s="3">
        <f>I2*'Share of Pollutants'!$B$19</f>
        <v>106442612808.1218</v>
      </c>
      <c r="J7" s="3">
        <f>J2*'Share of Pollutants'!$B$19</f>
        <v>106994196238.76443</v>
      </c>
      <c r="K7" s="3">
        <f>K2*'Share of Pollutants'!$B$19</f>
        <v>107456518980.66644</v>
      </c>
      <c r="L7" s="3">
        <f>L2*'Share of Pollutants'!$B$19</f>
        <v>107856359240.44997</v>
      </c>
      <c r="M7" s="3">
        <f>M2*'Share of Pollutants'!$B$19</f>
        <v>108313559224.62343</v>
      </c>
      <c r="N7" s="3">
        <f>N2*'Share of Pollutants'!$B$19</f>
        <v>108810911015.86983</v>
      </c>
      <c r="O7" s="3">
        <f>O2*'Share of Pollutants'!$B$19</f>
        <v>109336369072.06729</v>
      </c>
      <c r="P7" s="3">
        <f>P2*'Share of Pollutants'!$B$19</f>
        <v>109881501513.7305</v>
      </c>
      <c r="Q7" s="3">
        <f>Q2*'Share of Pollutants'!$B$19</f>
        <v>110440406025.21971</v>
      </c>
      <c r="R7" s="3">
        <f>R2*'Share of Pollutants'!$B$19</f>
        <v>111055274280.81062</v>
      </c>
      <c r="S7" s="3">
        <f>S2*'Share of Pollutants'!$B$19</f>
        <v>111709317157.27274</v>
      </c>
      <c r="T7" s="3">
        <f>T2*'Share of Pollutants'!$B$19</f>
        <v>112390782268.34465</v>
      </c>
      <c r="U7" s="3">
        <f>U2*'Share of Pollutants'!$B$19</f>
        <v>113091442943.64343</v>
      </c>
      <c r="V7" s="3">
        <f>V2*'Share of Pollutants'!$B$19</f>
        <v>113805540513.90105</v>
      </c>
      <c r="W7" s="3">
        <f>W2*'Share of Pollutants'!$B$19</f>
        <v>114311981713.0793</v>
      </c>
      <c r="X7" s="3">
        <f>X2*'Share of Pollutants'!$B$19</f>
        <v>114673063452.502</v>
      </c>
      <c r="Y7" s="3">
        <f>Y2*'Share of Pollutants'!$B$19</f>
        <v>114932393570.09583</v>
      </c>
      <c r="Z7" s="3">
        <f>Z2*'Share of Pollutants'!$B$19</f>
        <v>115120497552.40942</v>
      </c>
      <c r="AA7" s="3">
        <f>AA2*'Share of Pollutants'!$B$19</f>
        <v>115258743240.02684</v>
      </c>
      <c r="AB7" s="3">
        <f>AB2*'Share of Pollutants'!$B$19</f>
        <v>115514516802.26125</v>
      </c>
      <c r="AC7" s="3">
        <f>AC2*'Share of Pollutants'!$B$19</f>
        <v>115852559876.72751</v>
      </c>
      <c r="AD7" s="3">
        <f>AD2*'Share of Pollutants'!$B$19</f>
        <v>116248191609.7561</v>
      </c>
      <c r="AE7" s="3">
        <f>AE2*'Share of Pollutants'!$B$19</f>
        <v>116684135403.77832</v>
      </c>
      <c r="AF7" s="3">
        <f>AF2*'Share of Pollutants'!$B$19</f>
        <v>117148297640.49603</v>
      </c>
    </row>
    <row r="10" spans="1:62" x14ac:dyDescent="0.25">
      <c r="A10" s="15" t="s">
        <v>60</v>
      </c>
      <c r="B10" s="17" t="s">
        <v>61</v>
      </c>
    </row>
    <row r="11" spans="1:62" x14ac:dyDescent="0.25">
      <c r="A11" s="15" t="s">
        <v>16</v>
      </c>
      <c r="B11" s="13">
        <v>1</v>
      </c>
    </row>
    <row r="12" spans="1:62" x14ac:dyDescent="0.25">
      <c r="A12" s="15" t="s">
        <v>17</v>
      </c>
      <c r="B12" s="13">
        <v>28</v>
      </c>
    </row>
    <row r="13" spans="1:62" x14ac:dyDescent="0.25">
      <c r="A13" s="15" t="s">
        <v>18</v>
      </c>
      <c r="B13" s="13">
        <v>265</v>
      </c>
    </row>
    <row r="16" spans="1:62" x14ac:dyDescent="0.25">
      <c r="A16" s="1" t="s">
        <v>1</v>
      </c>
      <c r="B16" s="17">
        <v>2020</v>
      </c>
      <c r="C16" s="17">
        <v>2021</v>
      </c>
      <c r="D16" s="17">
        <v>2022</v>
      </c>
      <c r="E16" s="17">
        <v>2023</v>
      </c>
      <c r="F16" s="17">
        <v>2024</v>
      </c>
      <c r="G16" s="17">
        <v>2025</v>
      </c>
      <c r="H16" s="17">
        <v>2026</v>
      </c>
      <c r="I16" s="17">
        <v>2027</v>
      </c>
      <c r="J16" s="17">
        <v>2028</v>
      </c>
      <c r="K16" s="17">
        <v>2029</v>
      </c>
      <c r="L16" s="17">
        <v>2030</v>
      </c>
      <c r="M16" s="17">
        <v>2031</v>
      </c>
      <c r="N16" s="17">
        <v>2032</v>
      </c>
      <c r="O16" s="17">
        <v>2033</v>
      </c>
      <c r="P16" s="17">
        <v>2034</v>
      </c>
      <c r="Q16" s="17">
        <v>2035</v>
      </c>
      <c r="R16" s="17">
        <v>2036</v>
      </c>
      <c r="S16" s="17">
        <v>2037</v>
      </c>
      <c r="T16" s="17">
        <v>2038</v>
      </c>
      <c r="U16" s="17">
        <v>2039</v>
      </c>
      <c r="V16" s="17">
        <v>2040</v>
      </c>
      <c r="W16" s="17">
        <v>2041</v>
      </c>
      <c r="X16" s="17">
        <v>2042</v>
      </c>
      <c r="Y16" s="17">
        <v>2043</v>
      </c>
      <c r="Z16" s="17">
        <v>2044</v>
      </c>
      <c r="AA16" s="17">
        <v>2045</v>
      </c>
      <c r="AB16" s="17">
        <v>2046</v>
      </c>
      <c r="AC16" s="17">
        <v>2047</v>
      </c>
      <c r="AD16" s="17">
        <v>2048</v>
      </c>
      <c r="AE16" s="17">
        <v>2049</v>
      </c>
      <c r="AF16" s="17">
        <v>2050</v>
      </c>
      <c r="AW16" s="17"/>
      <c r="AX16" s="17"/>
      <c r="AY16" s="17"/>
      <c r="AZ16" s="17"/>
      <c r="BA16" s="17"/>
      <c r="BB16" s="17"/>
      <c r="BC16" s="17"/>
      <c r="BD16" s="17"/>
      <c r="BE16" s="13"/>
      <c r="BF16" s="13"/>
      <c r="BG16" s="13"/>
      <c r="BH16" s="13"/>
      <c r="BI16" s="13"/>
      <c r="BJ16" s="13"/>
    </row>
    <row r="17" spans="1:32" x14ac:dyDescent="0.25">
      <c r="A17" s="16" t="s">
        <v>62</v>
      </c>
      <c r="B17" s="3">
        <f t="shared" ref="B17:AF17" si="0">B5/$B$11</f>
        <v>662106412018444.87</v>
      </c>
      <c r="C17" s="3">
        <f t="shared" si="0"/>
        <v>727032629459101</v>
      </c>
      <c r="D17" s="3">
        <f t="shared" si="0"/>
        <v>749548910497411.37</v>
      </c>
      <c r="E17" s="3">
        <f t="shared" si="0"/>
        <v>765618712380660.87</v>
      </c>
      <c r="F17" s="3">
        <f t="shared" si="0"/>
        <v>777175978855367.75</v>
      </c>
      <c r="G17" s="3">
        <f t="shared" si="0"/>
        <v>785574470544094.87</v>
      </c>
      <c r="H17" s="3">
        <f t="shared" si="0"/>
        <v>792024155961288</v>
      </c>
      <c r="I17" s="3">
        <f t="shared" si="0"/>
        <v>797109676988407.37</v>
      </c>
      <c r="J17" s="3">
        <f t="shared" si="0"/>
        <v>801240282942474.62</v>
      </c>
      <c r="K17" s="3">
        <f t="shared" si="0"/>
        <v>804702448345406</v>
      </c>
      <c r="L17" s="3">
        <f t="shared" si="0"/>
        <v>807696705362542</v>
      </c>
      <c r="M17" s="3">
        <f t="shared" si="0"/>
        <v>811120508312217.5</v>
      </c>
      <c r="N17" s="3">
        <f t="shared" si="0"/>
        <v>814844993414670.5</v>
      </c>
      <c r="O17" s="3">
        <f t="shared" si="0"/>
        <v>818779956024067.87</v>
      </c>
      <c r="P17" s="3">
        <f t="shared" si="0"/>
        <v>822862252888326.25</v>
      </c>
      <c r="Q17" s="3">
        <f t="shared" si="0"/>
        <v>827047683730987.25</v>
      </c>
      <c r="R17" s="3">
        <f t="shared" si="0"/>
        <v>831652206521948.75</v>
      </c>
      <c r="S17" s="3">
        <f t="shared" si="0"/>
        <v>836550093676720.87</v>
      </c>
      <c r="T17" s="3">
        <f t="shared" si="0"/>
        <v>841653335886160.12</v>
      </c>
      <c r="U17" s="3">
        <f t="shared" si="0"/>
        <v>846900326633866.37</v>
      </c>
      <c r="V17" s="3">
        <f t="shared" si="0"/>
        <v>852247941358359.62</v>
      </c>
      <c r="W17" s="3">
        <f t="shared" si="0"/>
        <v>856040493702206.25</v>
      </c>
      <c r="X17" s="3">
        <f t="shared" si="0"/>
        <v>858744502379600.25</v>
      </c>
      <c r="Y17" s="3">
        <f t="shared" si="0"/>
        <v>860686530490477.25</v>
      </c>
      <c r="Z17" s="3">
        <f t="shared" si="0"/>
        <v>862095172204792.5</v>
      </c>
      <c r="AA17" s="3">
        <f t="shared" si="0"/>
        <v>863130443441514.25</v>
      </c>
      <c r="AB17" s="3">
        <f t="shared" si="0"/>
        <v>865045837814089.12</v>
      </c>
      <c r="AC17" s="3">
        <f t="shared" si="0"/>
        <v>867577318381760.87</v>
      </c>
      <c r="AD17" s="3">
        <f t="shared" si="0"/>
        <v>870540059286000.75</v>
      </c>
      <c r="AE17" s="3">
        <f t="shared" si="0"/>
        <v>873804682425838.12</v>
      </c>
      <c r="AF17" s="3">
        <f t="shared" si="0"/>
        <v>877280623130593.62</v>
      </c>
    </row>
    <row r="18" spans="1:32" x14ac:dyDescent="0.25">
      <c r="A18" s="16" t="s">
        <v>63</v>
      </c>
      <c r="B18" s="3">
        <f t="shared" ref="B18:AF18" si="1">B6/$B$12</f>
        <v>103184754522.40982</v>
      </c>
      <c r="C18" s="3">
        <f t="shared" si="1"/>
        <v>113303061318.83467</v>
      </c>
      <c r="D18" s="3">
        <f t="shared" si="1"/>
        <v>116812069673.8707</v>
      </c>
      <c r="E18" s="3">
        <f t="shared" si="1"/>
        <v>119316438356.0768</v>
      </c>
      <c r="F18" s="3">
        <f t="shared" si="1"/>
        <v>121117559267.302</v>
      </c>
      <c r="G18" s="3">
        <f t="shared" si="1"/>
        <v>122426406738.84056</v>
      </c>
      <c r="H18" s="3">
        <f t="shared" si="1"/>
        <v>123431546085.6882</v>
      </c>
      <c r="I18" s="3">
        <f t="shared" si="1"/>
        <v>124224089745.25215</v>
      </c>
      <c r="J18" s="3">
        <f t="shared" si="1"/>
        <v>124867816423.7175</v>
      </c>
      <c r="K18" s="3">
        <f t="shared" si="1"/>
        <v>125407371215.41386</v>
      </c>
      <c r="L18" s="3">
        <f t="shared" si="1"/>
        <v>125874005686.37196</v>
      </c>
      <c r="M18" s="3">
        <f t="shared" si="1"/>
        <v>126407581952.18454</v>
      </c>
      <c r="N18" s="3">
        <f t="shared" si="1"/>
        <v>126988017474.39525</v>
      </c>
      <c r="O18" s="3">
        <f t="shared" si="1"/>
        <v>127601254476.08467</v>
      </c>
      <c r="P18" s="3">
        <f t="shared" si="1"/>
        <v>128237452513.40916</v>
      </c>
      <c r="Q18" s="3">
        <f t="shared" si="1"/>
        <v>128889723275.67821</v>
      </c>
      <c r="R18" s="3">
        <f t="shared" si="1"/>
        <v>129607306650.87889</v>
      </c>
      <c r="S18" s="3">
        <f t="shared" si="1"/>
        <v>130370608855.13173</v>
      </c>
      <c r="T18" s="3">
        <f t="shared" si="1"/>
        <v>131165914239.72107</v>
      </c>
      <c r="U18" s="3">
        <f t="shared" si="1"/>
        <v>131983621850.54593</v>
      </c>
      <c r="V18" s="3">
        <f t="shared" si="1"/>
        <v>132817011019.7357</v>
      </c>
      <c r="W18" s="3">
        <f t="shared" si="1"/>
        <v>133408054355.83664</v>
      </c>
      <c r="X18" s="3">
        <f t="shared" si="1"/>
        <v>133829455608.77539</v>
      </c>
      <c r="Y18" s="3">
        <f t="shared" si="1"/>
        <v>134132107403.50063</v>
      </c>
      <c r="Z18" s="3">
        <f t="shared" si="1"/>
        <v>134351634577.47639</v>
      </c>
      <c r="AA18" s="3">
        <f t="shared" si="1"/>
        <v>134512974516.92751</v>
      </c>
      <c r="AB18" s="3">
        <f t="shared" si="1"/>
        <v>134811475625.75264</v>
      </c>
      <c r="AC18" s="3">
        <f t="shared" si="1"/>
        <v>135205989553.13956</v>
      </c>
      <c r="AD18" s="3">
        <f t="shared" si="1"/>
        <v>135667712453.51978</v>
      </c>
      <c r="AE18" s="3">
        <f t="shared" si="1"/>
        <v>136176481634.99527</v>
      </c>
      <c r="AF18" s="3">
        <f t="shared" si="1"/>
        <v>136718183213.23744</v>
      </c>
    </row>
    <row r="19" spans="1:32" x14ac:dyDescent="0.25">
      <c r="A19" s="16" t="s">
        <v>64</v>
      </c>
      <c r="B19" s="3">
        <f t="shared" ref="B19:AF19" si="2">B7/$B$13</f>
        <v>333640961.9906497</v>
      </c>
      <c r="C19" s="3">
        <f t="shared" si="2"/>
        <v>366357826.30748576</v>
      </c>
      <c r="D19" s="3">
        <f t="shared" si="2"/>
        <v>377703968.75484872</v>
      </c>
      <c r="E19" s="3">
        <f t="shared" si="2"/>
        <v>385801676.40728146</v>
      </c>
      <c r="F19" s="3">
        <f t="shared" si="2"/>
        <v>391625479.70326293</v>
      </c>
      <c r="G19" s="3">
        <f t="shared" si="2"/>
        <v>395857549.94972855</v>
      </c>
      <c r="H19" s="3">
        <f t="shared" si="2"/>
        <v>399107600.40697962</v>
      </c>
      <c r="I19" s="3">
        <f t="shared" si="2"/>
        <v>401670237.01178038</v>
      </c>
      <c r="J19" s="3">
        <f t="shared" si="2"/>
        <v>403751683.91986579</v>
      </c>
      <c r="K19" s="3">
        <f t="shared" si="2"/>
        <v>405496298.04025072</v>
      </c>
      <c r="L19" s="3">
        <f t="shared" si="2"/>
        <v>407005129.20924515</v>
      </c>
      <c r="M19" s="3">
        <f t="shared" si="2"/>
        <v>408730412.16839027</v>
      </c>
      <c r="N19" s="3">
        <f t="shared" si="2"/>
        <v>410607211.38064086</v>
      </c>
      <c r="O19" s="3">
        <f t="shared" si="2"/>
        <v>412590071.97006524</v>
      </c>
      <c r="P19" s="3">
        <f t="shared" si="2"/>
        <v>414647175.52351129</v>
      </c>
      <c r="Q19" s="3">
        <f t="shared" si="2"/>
        <v>416756249.1517725</v>
      </c>
      <c r="R19" s="3">
        <f t="shared" si="2"/>
        <v>419076506.72004008</v>
      </c>
      <c r="S19" s="3">
        <f t="shared" si="2"/>
        <v>421544593.04631221</v>
      </c>
      <c r="T19" s="3">
        <f t="shared" si="2"/>
        <v>424116159.50318736</v>
      </c>
      <c r="U19" s="3">
        <f t="shared" si="2"/>
        <v>426760162.05148464</v>
      </c>
      <c r="V19" s="3">
        <f t="shared" si="2"/>
        <v>429454869.86377752</v>
      </c>
      <c r="W19" s="3">
        <f t="shared" si="2"/>
        <v>431365968.72860116</v>
      </c>
      <c r="X19" s="3">
        <f t="shared" si="2"/>
        <v>432728541.3301962</v>
      </c>
      <c r="Y19" s="3">
        <f t="shared" si="2"/>
        <v>433707145.54753143</v>
      </c>
      <c r="Z19" s="3">
        <f t="shared" si="2"/>
        <v>434416971.89588463</v>
      </c>
      <c r="AA19" s="3">
        <f t="shared" si="2"/>
        <v>434938653.73595035</v>
      </c>
      <c r="AB19" s="3">
        <f t="shared" si="2"/>
        <v>435903836.98966509</v>
      </c>
      <c r="AC19" s="3">
        <f t="shared" si="2"/>
        <v>437179471.232934</v>
      </c>
      <c r="AD19" s="3">
        <f t="shared" si="2"/>
        <v>438672421.16889095</v>
      </c>
      <c r="AE19" s="3">
        <f t="shared" si="2"/>
        <v>440317492.08972949</v>
      </c>
      <c r="AF19" s="3">
        <f t="shared" si="2"/>
        <v>442069047.69998503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13"/>
  <sheetViews>
    <sheetView workbookViewId="0">
      <selection activeCell="B11" sqref="B11"/>
    </sheetView>
  </sheetViews>
  <sheetFormatPr baseColWidth="10" defaultRowHeight="15" x14ac:dyDescent="0.25"/>
  <sheetData>
    <row r="1" spans="1:32" x14ac:dyDescent="0.25">
      <c r="A1" s="18" t="s">
        <v>1</v>
      </c>
      <c r="B1" s="13">
        <v>2020</v>
      </c>
      <c r="C1" s="13">
        <v>2021</v>
      </c>
      <c r="D1" s="13">
        <v>2022</v>
      </c>
      <c r="E1" s="13">
        <v>2023</v>
      </c>
      <c r="F1" s="13">
        <v>2024</v>
      </c>
      <c r="G1" s="13">
        <v>2025</v>
      </c>
      <c r="H1" s="13">
        <v>2026</v>
      </c>
      <c r="I1" s="13">
        <v>2027</v>
      </c>
      <c r="J1" s="13">
        <v>2028</v>
      </c>
      <c r="K1" s="13">
        <v>2029</v>
      </c>
      <c r="L1" s="13">
        <v>2030</v>
      </c>
      <c r="M1" s="13">
        <v>2031</v>
      </c>
      <c r="N1" s="13">
        <v>2032</v>
      </c>
      <c r="O1" s="13">
        <v>2033</v>
      </c>
      <c r="P1" s="13">
        <v>2034</v>
      </c>
      <c r="Q1" s="13">
        <v>2035</v>
      </c>
      <c r="R1" s="13">
        <v>2036</v>
      </c>
      <c r="S1" s="13">
        <v>2037</v>
      </c>
      <c r="T1" s="13">
        <v>2038</v>
      </c>
      <c r="U1" s="13">
        <v>2039</v>
      </c>
      <c r="V1" s="13">
        <v>2040</v>
      </c>
      <c r="W1" s="13">
        <v>2041</v>
      </c>
      <c r="X1" s="13">
        <v>2042</v>
      </c>
      <c r="Y1" s="13">
        <v>2043</v>
      </c>
      <c r="Z1" s="13">
        <v>2044</v>
      </c>
      <c r="AA1" s="13">
        <v>2045</v>
      </c>
      <c r="AB1" s="13">
        <v>2046</v>
      </c>
      <c r="AC1" s="13">
        <v>2047</v>
      </c>
      <c r="AD1" s="13">
        <v>2048</v>
      </c>
      <c r="AE1" s="13">
        <v>2049</v>
      </c>
      <c r="AF1" s="13">
        <v>2050</v>
      </c>
    </row>
    <row r="2" spans="1:32" x14ac:dyDescent="0.25">
      <c r="A2" s="19" t="s">
        <v>5</v>
      </c>
      <c r="B2" s="3">
        <f>'Emissions by Pollutants'!B17</f>
        <v>662106412018444.87</v>
      </c>
      <c r="C2" s="3">
        <f>'Emissions by Pollutants'!C17</f>
        <v>727032629459101</v>
      </c>
      <c r="D2" s="3">
        <f>'Emissions by Pollutants'!D17</f>
        <v>749548910497411.37</v>
      </c>
      <c r="E2" s="3">
        <f>'Emissions by Pollutants'!E17</f>
        <v>765618712380660.87</v>
      </c>
      <c r="F2" s="3">
        <f>'Emissions by Pollutants'!F17</f>
        <v>777175978855367.75</v>
      </c>
      <c r="G2" s="3">
        <f>'Emissions by Pollutants'!G17</f>
        <v>785574470544094.87</v>
      </c>
      <c r="H2" s="3">
        <f>'Emissions by Pollutants'!H17</f>
        <v>792024155961288</v>
      </c>
      <c r="I2" s="3">
        <f>'Emissions by Pollutants'!I17</f>
        <v>797109676988407.37</v>
      </c>
      <c r="J2" s="3">
        <f>'Emissions by Pollutants'!J17</f>
        <v>801240282942474.62</v>
      </c>
      <c r="K2" s="3">
        <f>'Emissions by Pollutants'!K17</f>
        <v>804702448345406</v>
      </c>
      <c r="L2" s="3">
        <f>'Emissions by Pollutants'!L17</f>
        <v>807696705362542</v>
      </c>
      <c r="M2" s="3">
        <f>'Emissions by Pollutants'!M17</f>
        <v>811120508312217.5</v>
      </c>
      <c r="N2" s="3">
        <f>'Emissions by Pollutants'!N17</f>
        <v>814844993414670.5</v>
      </c>
      <c r="O2" s="3">
        <f>'Emissions by Pollutants'!O17</f>
        <v>818779956024067.87</v>
      </c>
      <c r="P2" s="3">
        <f>'Emissions by Pollutants'!P17</f>
        <v>822862252888326.25</v>
      </c>
      <c r="Q2" s="3">
        <f>'Emissions by Pollutants'!Q17</f>
        <v>827047683730987.25</v>
      </c>
      <c r="R2" s="3">
        <f>'Emissions by Pollutants'!R17</f>
        <v>831652206521948.75</v>
      </c>
      <c r="S2" s="3">
        <f>'Emissions by Pollutants'!S17</f>
        <v>836550093676720.87</v>
      </c>
      <c r="T2" s="3">
        <f>'Emissions by Pollutants'!T17</f>
        <v>841653335886160.12</v>
      </c>
      <c r="U2" s="3">
        <f>'Emissions by Pollutants'!U17</f>
        <v>846900326633866.37</v>
      </c>
      <c r="V2" s="3">
        <f>'Emissions by Pollutants'!V17</f>
        <v>852247941358359.62</v>
      </c>
      <c r="W2" s="3">
        <f>'Emissions by Pollutants'!W17</f>
        <v>856040493702206.25</v>
      </c>
      <c r="X2" s="3">
        <f>'Emissions by Pollutants'!X17</f>
        <v>858744502379600.25</v>
      </c>
      <c r="Y2" s="3">
        <f>'Emissions by Pollutants'!Y17</f>
        <v>860686530490477.25</v>
      </c>
      <c r="Z2" s="3">
        <f>'Emissions by Pollutants'!Z17</f>
        <v>862095172204792.5</v>
      </c>
      <c r="AA2" s="3">
        <f>'Emissions by Pollutants'!AA17</f>
        <v>863130443441514.25</v>
      </c>
      <c r="AB2" s="3">
        <f>'Emissions by Pollutants'!AB17</f>
        <v>865045837814089.12</v>
      </c>
      <c r="AC2" s="3">
        <f>'Emissions by Pollutants'!AC17</f>
        <v>867577318381760.87</v>
      </c>
      <c r="AD2" s="3">
        <f>'Emissions by Pollutants'!AD17</f>
        <v>870540059286000.75</v>
      </c>
      <c r="AE2" s="3">
        <f>'Emissions by Pollutants'!AE17</f>
        <v>873804682425838.12</v>
      </c>
      <c r="AF2" s="3">
        <f>'Emissions by Pollutants'!AF17</f>
        <v>877280623130593.62</v>
      </c>
    </row>
    <row r="3" spans="1:32" x14ac:dyDescent="0.25">
      <c r="A3" s="19" t="s">
        <v>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5">
      <c r="A4" s="19" t="s">
        <v>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5">
      <c r="A5" s="19" t="s">
        <v>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5">
      <c r="A6" s="19" t="s">
        <v>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5">
      <c r="A7" s="19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5">
      <c r="A8" s="19" t="s">
        <v>11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5">
      <c r="A9" s="19" t="s">
        <v>12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5">
      <c r="A10" s="19" t="s">
        <v>13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5">
      <c r="A11" s="19" t="s">
        <v>14</v>
      </c>
      <c r="B11" s="3">
        <f>'Emissions by Pollutants'!B18</f>
        <v>103184754522.40982</v>
      </c>
      <c r="C11" s="3">
        <f>'Emissions by Pollutants'!C18</f>
        <v>113303061318.83467</v>
      </c>
      <c r="D11" s="3">
        <f>'Emissions by Pollutants'!D18</f>
        <v>116812069673.8707</v>
      </c>
      <c r="E11" s="3">
        <f>'Emissions by Pollutants'!E18</f>
        <v>119316438356.0768</v>
      </c>
      <c r="F11" s="3">
        <f>'Emissions by Pollutants'!F18</f>
        <v>121117559267.302</v>
      </c>
      <c r="G11" s="3">
        <f>'Emissions by Pollutants'!G18</f>
        <v>122426406738.84056</v>
      </c>
      <c r="H11" s="3">
        <f>'Emissions by Pollutants'!H18</f>
        <v>123431546085.6882</v>
      </c>
      <c r="I11" s="3">
        <f>'Emissions by Pollutants'!I18</f>
        <v>124224089745.25215</v>
      </c>
      <c r="J11" s="3">
        <f>'Emissions by Pollutants'!J18</f>
        <v>124867816423.7175</v>
      </c>
      <c r="K11" s="3">
        <f>'Emissions by Pollutants'!K18</f>
        <v>125407371215.41386</v>
      </c>
      <c r="L11" s="3">
        <f>'Emissions by Pollutants'!L18</f>
        <v>125874005686.37196</v>
      </c>
      <c r="M11" s="3">
        <f>'Emissions by Pollutants'!M18</f>
        <v>126407581952.18454</v>
      </c>
      <c r="N11" s="3">
        <f>'Emissions by Pollutants'!N18</f>
        <v>126988017474.39525</v>
      </c>
      <c r="O11" s="3">
        <f>'Emissions by Pollutants'!O18</f>
        <v>127601254476.08467</v>
      </c>
      <c r="P11" s="3">
        <f>'Emissions by Pollutants'!P18</f>
        <v>128237452513.40916</v>
      </c>
      <c r="Q11" s="3">
        <f>'Emissions by Pollutants'!Q18</f>
        <v>128889723275.67821</v>
      </c>
      <c r="R11" s="3">
        <f>'Emissions by Pollutants'!R18</f>
        <v>129607306650.87889</v>
      </c>
      <c r="S11" s="3">
        <f>'Emissions by Pollutants'!S18</f>
        <v>130370608855.13173</v>
      </c>
      <c r="T11" s="3">
        <f>'Emissions by Pollutants'!T18</f>
        <v>131165914239.72107</v>
      </c>
      <c r="U11" s="3">
        <f>'Emissions by Pollutants'!U18</f>
        <v>131983621850.54593</v>
      </c>
      <c r="V11" s="3">
        <f>'Emissions by Pollutants'!V18</f>
        <v>132817011019.7357</v>
      </c>
      <c r="W11" s="3">
        <f>'Emissions by Pollutants'!W18</f>
        <v>133408054355.83664</v>
      </c>
      <c r="X11" s="3">
        <f>'Emissions by Pollutants'!X18</f>
        <v>133829455608.77539</v>
      </c>
      <c r="Y11" s="3">
        <f>'Emissions by Pollutants'!Y18</f>
        <v>134132107403.50063</v>
      </c>
      <c r="Z11" s="3">
        <f>'Emissions by Pollutants'!Z18</f>
        <v>134351634577.47639</v>
      </c>
      <c r="AA11" s="3">
        <f>'Emissions by Pollutants'!AA18</f>
        <v>134512974516.92751</v>
      </c>
      <c r="AB11" s="3">
        <f>'Emissions by Pollutants'!AB18</f>
        <v>134811475625.75264</v>
      </c>
      <c r="AC11" s="3">
        <f>'Emissions by Pollutants'!AC18</f>
        <v>135205989553.13956</v>
      </c>
      <c r="AD11" s="3">
        <f>'Emissions by Pollutants'!AD18</f>
        <v>135667712453.51978</v>
      </c>
      <c r="AE11" s="3">
        <f>'Emissions by Pollutants'!AE18</f>
        <v>136176481634.99527</v>
      </c>
      <c r="AF11" s="3">
        <f>'Emissions by Pollutants'!AF18</f>
        <v>136718183213.23744</v>
      </c>
    </row>
    <row r="12" spans="1:32" x14ac:dyDescent="0.25">
      <c r="A12" s="19" t="s">
        <v>15</v>
      </c>
      <c r="B12" s="3">
        <f>'Emissions by Pollutants'!B19</f>
        <v>333640961.9906497</v>
      </c>
      <c r="C12" s="3">
        <f>'Emissions by Pollutants'!C19</f>
        <v>366357826.30748576</v>
      </c>
      <c r="D12" s="3">
        <f>'Emissions by Pollutants'!D19</f>
        <v>377703968.75484872</v>
      </c>
      <c r="E12" s="3">
        <f>'Emissions by Pollutants'!E19</f>
        <v>385801676.40728146</v>
      </c>
      <c r="F12" s="3">
        <f>'Emissions by Pollutants'!F19</f>
        <v>391625479.70326293</v>
      </c>
      <c r="G12" s="3">
        <f>'Emissions by Pollutants'!G19</f>
        <v>395857549.94972855</v>
      </c>
      <c r="H12" s="3">
        <f>'Emissions by Pollutants'!H19</f>
        <v>399107600.40697962</v>
      </c>
      <c r="I12" s="3">
        <f>'Emissions by Pollutants'!I19</f>
        <v>401670237.01178038</v>
      </c>
      <c r="J12" s="3">
        <f>'Emissions by Pollutants'!J19</f>
        <v>403751683.91986579</v>
      </c>
      <c r="K12" s="3">
        <f>'Emissions by Pollutants'!K19</f>
        <v>405496298.04025072</v>
      </c>
      <c r="L12" s="3">
        <f>'Emissions by Pollutants'!L19</f>
        <v>407005129.20924515</v>
      </c>
      <c r="M12" s="3">
        <f>'Emissions by Pollutants'!M19</f>
        <v>408730412.16839027</v>
      </c>
      <c r="N12" s="3">
        <f>'Emissions by Pollutants'!N19</f>
        <v>410607211.38064086</v>
      </c>
      <c r="O12" s="3">
        <f>'Emissions by Pollutants'!O19</f>
        <v>412590071.97006524</v>
      </c>
      <c r="P12" s="3">
        <f>'Emissions by Pollutants'!P19</f>
        <v>414647175.52351129</v>
      </c>
      <c r="Q12" s="3">
        <f>'Emissions by Pollutants'!Q19</f>
        <v>416756249.1517725</v>
      </c>
      <c r="R12" s="3">
        <f>'Emissions by Pollutants'!R19</f>
        <v>419076506.72004008</v>
      </c>
      <c r="S12" s="3">
        <f>'Emissions by Pollutants'!S19</f>
        <v>421544593.04631221</v>
      </c>
      <c r="T12" s="3">
        <f>'Emissions by Pollutants'!T19</f>
        <v>424116159.50318736</v>
      </c>
      <c r="U12" s="3">
        <f>'Emissions by Pollutants'!U19</f>
        <v>426760162.05148464</v>
      </c>
      <c r="V12" s="3">
        <f>'Emissions by Pollutants'!V19</f>
        <v>429454869.86377752</v>
      </c>
      <c r="W12" s="3">
        <f>'Emissions by Pollutants'!W19</f>
        <v>431365968.72860116</v>
      </c>
      <c r="X12" s="3">
        <f>'Emissions by Pollutants'!X19</f>
        <v>432728541.3301962</v>
      </c>
      <c r="Y12" s="3">
        <f>'Emissions by Pollutants'!Y19</f>
        <v>433707145.54753143</v>
      </c>
      <c r="Z12" s="3">
        <f>'Emissions by Pollutants'!Z19</f>
        <v>434416971.89588463</v>
      </c>
      <c r="AA12" s="3">
        <f>'Emissions by Pollutants'!AA19</f>
        <v>434938653.73595035</v>
      </c>
      <c r="AB12" s="3">
        <f>'Emissions by Pollutants'!AB19</f>
        <v>435903836.98966509</v>
      </c>
      <c r="AC12" s="3">
        <f>'Emissions by Pollutants'!AC19</f>
        <v>437179471.232934</v>
      </c>
      <c r="AD12" s="3">
        <f>'Emissions by Pollutants'!AD19</f>
        <v>438672421.16889095</v>
      </c>
      <c r="AE12" s="3">
        <f>'Emissions by Pollutants'!AE19</f>
        <v>440317492.08972949</v>
      </c>
      <c r="AF12" s="3">
        <f>'Emissions by Pollutants'!AF19</f>
        <v>442069047.69998503</v>
      </c>
    </row>
    <row r="13" spans="1:32" x14ac:dyDescent="0.25">
      <c r="A13" s="19" t="s">
        <v>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About</vt:lpstr>
      <vt:lpstr>Data</vt:lpstr>
      <vt:lpstr>data from RPEpUACE</vt:lpstr>
      <vt:lpstr>Share of Pollutants</vt:lpstr>
      <vt:lpstr>EPE-Land use emissions</vt:lpstr>
      <vt:lpstr>Emissions by Pollutants</vt:lpstr>
      <vt:lpstr>BLAPE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2015-08-06T00:31:42Z</dcterms:created>
  <dcterms:modified xsi:type="dcterms:W3CDTF">2026-03-23T15:30:09Z</dcterms:modified>
</cp:coreProperties>
</file>