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io-model\BObIC\"/>
    </mc:Choice>
  </mc:AlternateContent>
  <bookViews>
    <workbookView xWindow="0" yWindow="780" windowWidth="34200" windowHeight="21360" activeTab="3"/>
  </bookViews>
  <sheets>
    <sheet name="About" sheetId="1" r:id="rId1"/>
    <sheet name="OECD TTL" sheetId="7" r:id="rId2"/>
    <sheet name="BR Data for ISIC Splits" sheetId="10" r:id="rId3"/>
    <sheet name="BObIC" sheetId="2" r:id="rId4"/>
  </sheets>
  <calcPr calcId="152511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2" i="2" l="1"/>
  <c r="F6" i="10" l="1"/>
  <c r="Q6" i="10"/>
  <c r="P6" i="10"/>
  <c r="R6" i="10"/>
  <c r="N6" i="10"/>
  <c r="M6" i="10"/>
  <c r="H6" i="10"/>
  <c r="G6" i="10"/>
  <c r="E6" i="10"/>
  <c r="D6" i="10"/>
  <c r="Q4" i="10"/>
  <c r="G17" i="10"/>
  <c r="M2" i="2" l="1"/>
  <c r="R2" i="2" l="1"/>
  <c r="Q2" i="2"/>
  <c r="AB2" i="2"/>
  <c r="AA2" i="2"/>
  <c r="Z2" i="2"/>
  <c r="L2" i="2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D18" i="10"/>
  <c r="K6" i="10" s="1"/>
  <c r="D19" i="10"/>
  <c r="J6" i="10" s="1"/>
  <c r="O2" i="2" s="1"/>
  <c r="D2" i="2"/>
  <c r="C2" i="2"/>
  <c r="A1" i="7"/>
  <c r="P2" i="2" l="1"/>
</calcChain>
</file>

<file path=xl/sharedStrings.xml><?xml version="1.0" encoding="utf-8"?>
<sst xmlns="http://schemas.openxmlformats.org/spreadsheetml/2006/main" count="323" uniqueCount="231">
  <si>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</si>
  <si>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</si>
  <si>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</si>
  <si>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</si>
  <si>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</si>
  <si>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</si>
  <si>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</si>
  <si>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</si>
  <si>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</si>
  <si>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</si>
  <si>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</si>
  <si>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</si>
  <si>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</si>
  <si>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</si>
  <si>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</si>
  <si>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</si>
  <si>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</si>
  <si>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</si>
  <si>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</si>
  <si>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</si>
  <si>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</si>
  <si>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</si>
  <si>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</si>
  <si>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</si>
  <si>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</si>
  <si>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</si>
  <si>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</si>
  <si>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</si>
  <si>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</si>
  <si>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</si>
  <si>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</si>
  <si>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</si>
  <si>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</si>
  <si>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</si>
  <si>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</si>
  <si>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</si>
  <si>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</si>
  <si>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</si>
  <si>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</si>
  <si>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</si>
  <si>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</si>
  <si>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</si>
  <si>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</si>
  <si>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</si>
  <si>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</si>
  <si>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</si>
  <si>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</si>
  <si>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</si>
  <si>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</si>
  <si>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</si>
  <si>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</si>
  <si>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</si>
  <si>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</si>
  <si>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</si>
  <si>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</si>
  <si>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</si>
  <si>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</si>
  <si>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</si>
  <si>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</si>
  <si>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</si>
  <si>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</si>
  <si>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</si>
  <si>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</si>
  <si>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</si>
  <si>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</si>
  <si>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</si>
  <si>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</si>
  <si>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</si>
  <si>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</si>
  <si>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</si>
  <si>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</si>
  <si>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</si>
  <si>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</si>
  <si>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</si>
  <si>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</si>
  <si>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</si>
  <si>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</si>
  <si>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</si>
  <si>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</si>
  <si>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</si>
  <si>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</si>
  <si>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</si>
  <si>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</si>
  <si>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</si>
  <si>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</si>
  <si>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</si>
  <si>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</si>
  <si>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</si>
  <si>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</si>
  <si>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</si>
  <si>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</si>
  <si>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</si>
  <si>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</si>
  <si>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</si>
  <si>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</si>
  <si>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</si>
  <si>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</si>
  <si>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</si>
  <si>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</si>
  <si>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</si>
  <si>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</si>
  <si>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</si>
  <si>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</si>
  <si>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</si>
  <si>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</si>
  <si>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</si>
  <si>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</si>
  <si>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</si>
  <si>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</si>
  <si>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</si>
  <si>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</si>
  <si>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</si>
  <si>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</si>
  <si>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</si>
  <si>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</si>
  <si>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</si>
  <si>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</si>
  <si>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</si>
  <si>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</si>
  <si>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</si>
  <si>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</si>
  <si>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</si>
  <si>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</si>
  <si>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</si>
  <si>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</si>
  <si>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</si>
  <si>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</si>
  <si>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</si>
  <si>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</si>
  <si>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</si>
  <si>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</si>
  <si>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</si>
  <si>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</si>
  <si>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03 Jun 2020 20:33 UTC (GMT) from OECD.Stat</t>
  </si>
  <si>
    <t>Input-Output Tables 2018 Edition (ISIC Rev. 4)</t>
  </si>
  <si>
    <t>Variable: TTL</t>
  </si>
  <si>
    <t>The output of each domestic industry can be found in the columns (where the ISIC codes</t>
  </si>
  <si>
    <t>are prefixed with "D" for domestic).  This output is in the total row and is equal to the</t>
  </si>
  <si>
    <t>inputs the industry buys plus the value added and taxes (less subsidies) paid.</t>
  </si>
  <si>
    <t>Unit: USD</t>
  </si>
  <si>
    <t>Output</t>
  </si>
  <si>
    <t>We convert 2015 USD to 2012 USD with the following conversion factor:</t>
  </si>
  <si>
    <t>2012 USD per 2015 USD</t>
  </si>
  <si>
    <t>BObIC BAU Output by ISIC Code</t>
  </si>
  <si>
    <t>ISIC 20</t>
  </si>
  <si>
    <t>ISIC 21</t>
  </si>
  <si>
    <t>https://stats.oecd.org/Index.aspx?DataSetCode=STANI4_2020</t>
  </si>
  <si>
    <t>Most Industries</t>
  </si>
  <si>
    <t>https://stats.oecd.org/Index.aspx?DataSetCode=IOTSI4_2018</t>
  </si>
  <si>
    <t>Gross Output by Industry</t>
  </si>
  <si>
    <t>Underlying Detail: Gross Output by Industry</t>
  </si>
  <si>
    <t>Components of Value Added</t>
  </si>
  <si>
    <t>Data for Year 2015</t>
  </si>
  <si>
    <t>Coal Mining</t>
  </si>
  <si>
    <t>Oil and gas extraction</t>
  </si>
  <si>
    <t>NAICS Code</t>
  </si>
  <si>
    <t>ISIC Code</t>
  </si>
  <si>
    <t>05</t>
  </si>
  <si>
    <t>06</t>
  </si>
  <si>
    <t>ISIC 05</t>
  </si>
  <si>
    <t>ISIC 06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</si>
  <si>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</si>
  <si>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</si>
  <si>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</si>
  <si>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</si>
  <si>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</si>
  <si>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</si>
  <si>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</si>
  <si>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</si>
  <si>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</si>
  <si>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</si>
  <si>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</si>
  <si>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</si>
  <si>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</si>
  <si>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</si>
  <si>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</si>
  <si>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</si>
  <si>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</si>
  <si>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</si>
  <si>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05 + 07T08</t>
  </si>
  <si>
    <t>20T21</t>
  </si>
  <si>
    <t>352T353</t>
  </si>
  <si>
    <t>36T39</t>
  </si>
  <si>
    <t>35T39</t>
  </si>
  <si>
    <t>Gross Output (detail level)</t>
  </si>
  <si>
    <t>U.Gross Output by Industry - Detail Level</t>
  </si>
  <si>
    <t>ISIC 231</t>
  </si>
  <si>
    <t>ISIC 239</t>
  </si>
  <si>
    <t>ISIC 241</t>
  </si>
  <si>
    <t>ISIC 242</t>
  </si>
  <si>
    <t>ISIC 351</t>
  </si>
  <si>
    <t>ISIC 352T353</t>
  </si>
  <si>
    <t>ISIC 36T39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</si>
  <si>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</si>
  <si>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</si>
  <si>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</si>
  <si>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</si>
  <si>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MR$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</si>
  <si>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</si>
  <si>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</si>
  <si>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</si>
  <si>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</si>
  <si>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</si>
  <si>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</si>
  <si>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</si>
  <si>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</si>
  <si>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minerais não-metálicos</t>
  </si>
  <si>
    <t>23001 + 23002</t>
  </si>
  <si>
    <t>Cimento + Artefatos de cimento, gesso e semelhantes</t>
  </si>
  <si>
    <t>Cimento</t>
  </si>
  <si>
    <t>Vidros, cerâmicos e outros prod. de minerais não-metálicos</t>
  </si>
  <si>
    <t>Artefatos de cimento, gesso e semelhantes</t>
  </si>
  <si>
    <t>Produção de ferro-gusa/ferroligas, siderurgia e tubos de aço sem costura</t>
  </si>
  <si>
    <t>Metalurgia de metais não-ferosos e a fundição de metais</t>
  </si>
  <si>
    <t>Energia elétrica, gás natural e outras utilidades</t>
  </si>
  <si>
    <t>weight by average revenue between 2013-2022</t>
  </si>
  <si>
    <t>Água, esgoto e gestão de resíduos</t>
  </si>
  <si>
    <t>Brazil Gross Output for sectors</t>
  </si>
  <si>
    <t>https://ftp.ibge.gov.br/Contas_Nacionais/Matriz_de_Insumo_Produto/2015/Matriz_de_Insumo_Produto_2015_Nivel_67.xls</t>
  </si>
  <si>
    <t>00580 + 0791 + 0792</t>
  </si>
  <si>
    <t>2091 to 2093</t>
  </si>
  <si>
    <t>2091 to 2094</t>
  </si>
  <si>
    <t>23001+23002</t>
  </si>
  <si>
    <t>23001 + 23002 + 23003</t>
  </si>
  <si>
    <t>24911 + 24912</t>
  </si>
  <si>
    <t>24921 + 24922</t>
  </si>
  <si>
    <t>National Account System (SCN) version 2010</t>
  </si>
  <si>
    <t>Current Employment Statistics - 2015</t>
  </si>
  <si>
    <t>ISIC Code Splits and IO-matrix</t>
  </si>
  <si>
    <t>Calibrated</t>
  </si>
  <si>
    <t>https://www.businesswire.com/news/home/20250428619006/en/Brazil-Construction-Industry-Databook-2025-Robust-Growth-in-Brazils-Construction-Sector-Forecasted-to-Expand-4.3-Annually-to-2029---ResearchAndMarkets.com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</si>
</sst>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_ ;\-#,##0.0\ "/>
    <numFmt numFmtId="165" formatCode="0.000"/>
    <numFmt numFmtId="166" formatCode="0.0000E+00"/>
    <numFmt numFmtId="167" formatCode="0000"/>
    <numFmt numFmtId="168" formatCode="0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14" fillId="0" borderId="0" applyFont="0" applyFill="0" applyBorder="0" applyAlignment="0" applyProtection="0"/>
    <xf numFmtId="0" fontId="15" fillId="0" borderId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8" borderId="0" xfId="0" applyFont="1" applyFill="1"/>
    <xf numFmtId="0" fontId="0" fillId="0" borderId="0" xfId="0" quotePrefix="1" applyAlignment="1">
      <alignment horizontal="right"/>
    </xf>
    <xf numFmtId="0" fontId="13" fillId="0" borderId="0" xfId="0" applyFont="1"/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0" xfId="0" applyNumberFormat="1"/>
    <xf numFmtId="0" fontId="0" fillId="7" borderId="8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11" fontId="0" fillId="7" borderId="10" xfId="0" applyNumberFormat="1" applyFill="1" applyBorder="1"/>
    <xf numFmtId="11" fontId="0" fillId="7" borderId="11" xfId="0" applyNumberFormat="1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 applyAlignment="1">
      <alignment horizontal="right"/>
    </xf>
    <xf numFmtId="0" fontId="0" fillId="7" borderId="13" xfId="0" applyFill="1" applyBorder="1"/>
    <xf numFmtId="0" fontId="0" fillId="0" borderId="0" xfId="0" applyAlignment="1">
      <alignment horizontal="left" inden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17" fillId="10" borderId="0" xfId="4" applyFont="1" applyFill="1" applyAlignment="1">
      <alignment vertical="center" wrapText="1"/>
    </xf>
    <xf numFmtId="38" fontId="16" fillId="10" borderId="0" xfId="4" applyNumberFormat="1" applyFont="1" applyFill="1" applyAlignment="1">
      <alignment vertical="center"/>
    </xf>
    <xf numFmtId="168" fontId="16" fillId="10" borderId="0" xfId="4" applyNumberFormat="1" applyFont="1" applyFill="1" applyAlignment="1">
      <alignment horizontal="center" vertical="center"/>
    </xf>
    <xf numFmtId="0" fontId="17" fillId="9" borderId="0" xfId="4" applyFont="1" applyFill="1" applyAlignment="1">
      <alignment vertical="center" wrapText="1"/>
    </xf>
    <xf numFmtId="9" fontId="16" fillId="9" borderId="0" xfId="3" applyFont="1" applyFill="1" applyAlignment="1">
      <alignment horizontal="left" vertical="center"/>
    </xf>
    <xf numFmtId="0" fontId="2" fillId="0" borderId="0" xfId="1" applyAlignment="1">
      <alignment vertical="center"/>
    </xf>
    <xf numFmtId="167" fontId="0" fillId="0" borderId="0" xfId="0" quotePrefix="1" applyNumberFormat="1" applyAlignment="1">
      <alignment horizontal="right" vertical="center"/>
    </xf>
    <xf numFmtId="167" fontId="0" fillId="0" borderId="7" xfId="0" quotePrefix="1" applyNumberFormat="1" applyBorder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7" fontId="0" fillId="0" borderId="7" xfId="0" applyNumberFormat="1" applyBorder="1" applyAlignment="1">
      <alignment horizontal="right" vertical="center"/>
    </xf>
    <xf numFmtId="0" fontId="17" fillId="0" borderId="0" xfId="4" applyFont="1" applyAlignment="1">
      <alignment vertical="center" wrapText="1"/>
    </xf>
    <xf numFmtId="0" fontId="17" fillId="0" borderId="14" xfId="4" applyFont="1" applyBorder="1" applyAlignment="1">
      <alignment vertical="center" wrapText="1"/>
    </xf>
    <xf numFmtId="0" fontId="16" fillId="0" borderId="15" xfId="4" applyFont="1" applyBorder="1" applyAlignment="1">
      <alignment horizontal="center" vertical="center"/>
    </xf>
    <xf numFmtId="0" fontId="17" fillId="0" borderId="16" xfId="4" applyFont="1" applyBorder="1" applyAlignment="1">
      <alignment vertical="center" wrapText="1"/>
    </xf>
    <xf numFmtId="38" fontId="16" fillId="0" borderId="17" xfId="4" applyNumberFormat="1" applyFont="1" applyBorder="1" applyAlignment="1">
      <alignment vertical="center"/>
    </xf>
    <xf numFmtId="0" fontId="16" fillId="0" borderId="18" xfId="4" applyFont="1" applyBorder="1" applyAlignment="1">
      <alignment horizontal="center" vertical="center"/>
    </xf>
    <xf numFmtId="38" fontId="16" fillId="0" borderId="19" xfId="4" applyNumberFormat="1" applyFont="1" applyBorder="1" applyAlignment="1">
      <alignment vertical="center"/>
    </xf>
    <xf numFmtId="0" fontId="16" fillId="0" borderId="20" xfId="4" applyFont="1" applyBorder="1" applyAlignment="1">
      <alignment horizontal="center" vertical="center"/>
    </xf>
    <xf numFmtId="38" fontId="16" fillId="0" borderId="21" xfId="4" applyNumberFormat="1" applyFont="1" applyBorder="1" applyAlignment="1">
      <alignment vertical="center"/>
    </xf>
    <xf numFmtId="167" fontId="16" fillId="0" borderId="15" xfId="4" applyNumberFormat="1" applyFont="1" applyBorder="1" applyAlignment="1">
      <alignment horizontal="center" vertical="center"/>
    </xf>
    <xf numFmtId="167" fontId="16" fillId="0" borderId="18" xfId="4" applyNumberFormat="1" applyFont="1" applyBorder="1" applyAlignment="1">
      <alignment horizontal="center" vertical="center"/>
    </xf>
    <xf numFmtId="167" fontId="16" fillId="0" borderId="20" xfId="4" applyNumberFormat="1" applyFont="1" applyBorder="1" applyAlignment="1">
      <alignment horizontal="center" vertical="center"/>
    </xf>
    <xf numFmtId="167" fontId="16" fillId="10" borderId="15" xfId="4" applyNumberFormat="1" applyFont="1" applyFill="1" applyBorder="1" applyAlignment="1">
      <alignment horizontal="center" vertical="center"/>
    </xf>
    <xf numFmtId="0" fontId="17" fillId="10" borderId="16" xfId="4" applyFont="1" applyFill="1" applyBorder="1" applyAlignment="1">
      <alignment vertical="center" wrapText="1"/>
    </xf>
    <xf numFmtId="38" fontId="16" fillId="10" borderId="17" xfId="4" applyNumberFormat="1" applyFont="1" applyFill="1" applyBorder="1" applyAlignment="1">
      <alignment vertical="center"/>
    </xf>
    <xf numFmtId="167" fontId="16" fillId="10" borderId="18" xfId="4" applyNumberFormat="1" applyFont="1" applyFill="1" applyBorder="1" applyAlignment="1">
      <alignment horizontal="center" vertical="center"/>
    </xf>
    <xf numFmtId="0" fontId="17" fillId="10" borderId="0" xfId="4" applyFont="1" applyFill="1" applyAlignment="1">
      <alignment horizontal="left" vertical="center" wrapText="1"/>
    </xf>
    <xf numFmtId="38" fontId="16" fillId="10" borderId="19" xfId="4" applyNumberFormat="1" applyFont="1" applyFill="1" applyBorder="1" applyAlignment="1">
      <alignment vertical="center"/>
    </xf>
    <xf numFmtId="167" fontId="16" fillId="10" borderId="20" xfId="4" applyNumberFormat="1" applyFont="1" applyFill="1" applyBorder="1" applyAlignment="1">
      <alignment horizontal="center" vertical="center"/>
    </xf>
    <xf numFmtId="0" fontId="17" fillId="10" borderId="14" xfId="4" applyFont="1" applyFill="1" applyBorder="1" applyAlignment="1">
      <alignment horizontal="left" vertical="center" wrapText="1"/>
    </xf>
    <xf numFmtId="38" fontId="16" fillId="10" borderId="21" xfId="4" applyNumberFormat="1" applyFont="1" applyFill="1" applyBorder="1" applyAlignment="1">
      <alignment vertical="center"/>
    </xf>
    <xf numFmtId="167" fontId="16" fillId="9" borderId="15" xfId="4" applyNumberFormat="1" applyFont="1" applyFill="1" applyBorder="1" applyAlignment="1">
      <alignment horizontal="center" vertical="center"/>
    </xf>
    <xf numFmtId="0" fontId="17" fillId="9" borderId="16" xfId="4" applyFont="1" applyFill="1" applyBorder="1" applyAlignment="1">
      <alignment vertical="center" wrapText="1"/>
    </xf>
    <xf numFmtId="38" fontId="16" fillId="9" borderId="17" xfId="4" applyNumberFormat="1" applyFont="1" applyFill="1" applyBorder="1" applyAlignment="1">
      <alignment vertical="center"/>
    </xf>
    <xf numFmtId="38" fontId="0" fillId="0" borderId="0" xfId="0" applyNumberFormat="1"/>
    <xf numFmtId="38" fontId="0" fillId="0" borderId="7" xfId="0" applyNumberFormat="1" applyBorder="1"/>
    <xf numFmtId="11" fontId="0" fillId="0" borderId="0" xfId="0" applyNumberFormat="1"/>
    <xf numFmtId="0" fontId="0" fillId="11" borderId="0" xfId="0" applyFill="1" applyAlignment="1">
      <alignment horizontal="right"/>
    </xf>
    <xf numFmtId="11" fontId="0" fillId="11" borderId="0" xfId="0" applyNumberFormat="1" applyFill="1"/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17" fillId="9" borderId="0" xfId="4" applyFont="1" applyFill="1" applyAlignment="1">
      <alignment horizontal="center" vertical="center" wrapText="1"/>
    </xf>
  </cellXfs>
  <cellStyles count="5">
    <cellStyle name="Lien hypertexte" xfId="1" builtinId="8"/>
    <cellStyle name="Normal" xfId="0" builtinId="0"/>
    <cellStyle name="Normal 2" xfId="2"/>
    <cellStyle name="Normal 4" xfId="4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STANI4_2020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Relationship Id="rId4" Type="http://schemas.openxmlformats.org/officeDocument/2006/relationships/hyperlink" Target="https://www.businesswire.com/news/home/20250428619006/en/Brazil-Construction-Industry-Databook-2025-Robust-Growth-in-Brazils-Construction-Sector-Forecasted-to-Expand-4.3-Annually-to-2029---ResearchAndMarket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opLeftCell="A14" workbookViewId="0">
      <selection activeCell="A30" sqref="A30"/>
    </sheetView>
  </sheetViews>
  <sheetFormatPr baseColWidth="10" defaultColWidth="8.85546875" defaultRowHeight="15" x14ac:dyDescent="0.25"/>
  <cols>
    <col min="2" max="2" width="77.42578125" customWidth="1"/>
  </cols>
  <sheetData>
    <row r="1" spans="1:2" x14ac:dyDescent="0.25">
      <c r="A1" s="1" t="s">
        <v>143</v>
      </c>
    </row>
    <row r="3" spans="1:2" x14ac:dyDescent="0.25">
      <c r="A3" s="1" t="s">
        <v>0</v>
      </c>
      <c r="B3" s="17" t="s">
        <v>147</v>
      </c>
    </row>
    <row r="4" spans="1:2" x14ac:dyDescent="0.25">
      <c r="B4" t="s">
        <v>1</v>
      </c>
    </row>
    <row r="5" spans="1:2" x14ac:dyDescent="0.25">
      <c r="B5" s="2">
        <v>2018</v>
      </c>
    </row>
    <row r="6" spans="1:2" x14ac:dyDescent="0.25">
      <c r="B6" t="s">
        <v>134</v>
      </c>
    </row>
    <row r="7" spans="1:2" x14ac:dyDescent="0.25">
      <c r="B7" s="3" t="s">
        <v>148</v>
      </c>
    </row>
    <row r="8" spans="1:2" x14ac:dyDescent="0.25">
      <c r="B8" t="s">
        <v>135</v>
      </c>
    </row>
    <row r="10" spans="1:2" x14ac:dyDescent="0.25">
      <c r="B10" s="17" t="s">
        <v>228</v>
      </c>
    </row>
    <row r="11" spans="1:2" x14ac:dyDescent="0.25">
      <c r="B11" t="s">
        <v>226</v>
      </c>
    </row>
    <row r="12" spans="1:2" x14ac:dyDescent="0.25">
      <c r="B12" t="s">
        <v>227</v>
      </c>
    </row>
    <row r="13" spans="1:2" x14ac:dyDescent="0.25">
      <c r="B13" s="48" t="s">
        <v>218</v>
      </c>
    </row>
    <row r="14" spans="1:2" x14ac:dyDescent="0.25">
      <c r="B14" s="38" t="s">
        <v>149</v>
      </c>
    </row>
    <row r="15" spans="1:2" x14ac:dyDescent="0.25">
      <c r="B15" s="38" t="s">
        <v>150</v>
      </c>
    </row>
    <row r="16" spans="1:2" x14ac:dyDescent="0.25">
      <c r="B16" s="38" t="s">
        <v>151</v>
      </c>
    </row>
    <row r="18" spans="1:2" x14ac:dyDescent="0.25">
      <c r="A18" s="1" t="s">
        <v>2</v>
      </c>
    </row>
    <row r="19" spans="1:2" x14ac:dyDescent="0.25">
      <c r="A19" t="s">
        <v>136</v>
      </c>
    </row>
    <row r="20" spans="1:2" x14ac:dyDescent="0.25">
      <c r="A20" t="s">
        <v>137</v>
      </c>
    </row>
    <row r="21" spans="1:2" x14ac:dyDescent="0.25">
      <c r="A21" t="s">
        <v>138</v>
      </c>
    </row>
    <row r="23" spans="1:2" x14ac:dyDescent="0.25">
      <c r="A23" t="s">
        <v>193</v>
      </c>
    </row>
    <row r="24" spans="1:2" x14ac:dyDescent="0.25">
      <c r="A24" t="s">
        <v>194</v>
      </c>
    </row>
    <row r="25" spans="1:2" x14ac:dyDescent="0.25">
      <c r="A25" t="s">
        <v>195</v>
      </c>
    </row>
    <row r="26" spans="1:2" x14ac:dyDescent="0.25">
      <c r="A26" t="s">
        <v>196</v>
      </c>
    </row>
    <row r="27" spans="1:2" x14ac:dyDescent="0.25">
      <c r="A27" s="3" t="s">
        <v>146</v>
      </c>
    </row>
    <row r="29" spans="1:2" x14ac:dyDescent="0.25">
      <c r="A29" t="s">
        <v>141</v>
      </c>
    </row>
    <row r="30" spans="1:2" x14ac:dyDescent="0.25">
      <c r="A30" s="16">
        <v>0.9686815713640794</v>
      </c>
      <c r="B30" t="s">
        <v>142</v>
      </c>
    </row>
  </sheetData>
  <hyperlinks>
    <hyperlink ref="B7" r:id="rId1"/>
    <hyperlink ref="A27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showGridLines="0" topLeftCell="J41" workbookViewId="0">
      <selection activeCell="W49" sqref="W49"/>
    </sheetView>
  </sheetViews>
  <sheetFormatPr baseColWidth="10" defaultColWidth="9.140625" defaultRowHeight="12.75" x14ac:dyDescent="0.2"/>
  <cols>
    <col min="1" max="1" width="27.42578125" style="6" customWidth="1"/>
    <col min="2" max="2" width="2.42578125" style="6" customWidth="1"/>
    <col min="3" max="23" width="9.28515625" style="6" bestFit="1" customWidth="1"/>
    <col min="24" max="26" width="9.42578125" style="6" bestFit="1" customWidth="1"/>
    <col min="27" max="30" width="9.28515625" style="6" bestFit="1" customWidth="1"/>
    <col min="31" max="36" width="9.42578125" style="6" bestFit="1" customWidth="1"/>
    <col min="37" max="38" width="9.28515625" style="6" bestFit="1" customWidth="1"/>
    <col min="39" max="39" width="10.42578125" style="6" bestFit="1" customWidth="1"/>
    <col min="40" max="40" width="9.28515625" style="6" bestFit="1" customWidth="1"/>
    <col min="41" max="42" width="9.42578125" style="6" bestFit="1" customWidth="1"/>
    <col min="43" max="45" width="9.28515625" style="6" bestFit="1" customWidth="1"/>
    <col min="46" max="46" width="9.42578125" style="6" bestFit="1" customWidth="1"/>
    <col min="47" max="47" width="10.140625" style="6" bestFit="1" customWidth="1"/>
    <col min="48" max="16384" width="9.140625" style="6"/>
  </cols>
  <sheetData>
    <row r="1" spans="1:47" hidden="1" x14ac:dyDescent="0.2">
      <c r="A1" s="5" t="e">
        <f ca="1">DotStatQuery(B1)</f>
        <v>#NAME?</v>
      </c>
      <c r="B1" s="5" t="s">
        <v>3</v>
      </c>
    </row>
    <row r="2" spans="1:47" ht="23.25" x14ac:dyDescent="0.2">
      <c r="A2" s="7" t="s">
        <v>41</v>
      </c>
    </row>
    <row r="3" spans="1:47" x14ac:dyDescent="0.2">
      <c r="A3" s="82" t="s">
        <v>42</v>
      </c>
      <c r="B3" s="83"/>
      <c r="C3" s="89" t="s">
        <v>43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</row>
    <row r="4" spans="1:47" x14ac:dyDescent="0.2">
      <c r="A4" s="82" t="s">
        <v>4</v>
      </c>
      <c r="B4" s="83"/>
      <c r="C4" s="84" t="s">
        <v>5</v>
      </c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6"/>
    </row>
    <row r="5" spans="1:47" x14ac:dyDescent="0.2">
      <c r="A5" s="82" t="s">
        <v>6</v>
      </c>
      <c r="B5" s="83"/>
      <c r="C5" s="84" t="s">
        <v>7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6"/>
    </row>
    <row r="6" spans="1:47" x14ac:dyDescent="0.2">
      <c r="A6" s="82" t="s">
        <v>8</v>
      </c>
      <c r="B6" s="83"/>
      <c r="C6" s="84" t="s">
        <v>44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6"/>
    </row>
    <row r="7" spans="1:47" ht="126" x14ac:dyDescent="0.2">
      <c r="A7" s="87" t="s">
        <v>45</v>
      </c>
      <c r="B7" s="88"/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  <c r="N7" s="8" t="s">
        <v>57</v>
      </c>
      <c r="O7" s="8" t="s">
        <v>58</v>
      </c>
      <c r="P7" s="8" t="s">
        <v>59</v>
      </c>
      <c r="Q7" s="8" t="s">
        <v>60</v>
      </c>
      <c r="R7" s="8" t="s">
        <v>61</v>
      </c>
      <c r="S7" s="8" t="s">
        <v>62</v>
      </c>
      <c r="T7" s="8" t="s">
        <v>63</v>
      </c>
      <c r="U7" s="8" t="s">
        <v>64</v>
      </c>
      <c r="V7" s="8" t="s">
        <v>65</v>
      </c>
      <c r="W7" s="8" t="s">
        <v>66</v>
      </c>
      <c r="X7" s="8" t="s">
        <v>67</v>
      </c>
      <c r="Y7" s="8" t="s">
        <v>68</v>
      </c>
      <c r="Z7" s="8" t="s">
        <v>69</v>
      </c>
      <c r="AA7" s="8" t="s">
        <v>70</v>
      </c>
      <c r="AB7" s="8" t="s">
        <v>71</v>
      </c>
      <c r="AC7" s="8" t="s">
        <v>72</v>
      </c>
      <c r="AD7" s="8" t="s">
        <v>73</v>
      </c>
      <c r="AE7" s="8" t="s">
        <v>74</v>
      </c>
      <c r="AF7" s="8" t="s">
        <v>75</v>
      </c>
      <c r="AG7" s="8" t="s">
        <v>76</v>
      </c>
      <c r="AH7" s="8" t="s">
        <v>77</v>
      </c>
      <c r="AI7" s="8" t="s">
        <v>78</v>
      </c>
      <c r="AJ7" s="8" t="s">
        <v>79</v>
      </c>
      <c r="AK7" s="8" t="s">
        <v>80</v>
      </c>
      <c r="AL7" s="8" t="s">
        <v>81</v>
      </c>
      <c r="AM7" s="8" t="s">
        <v>82</v>
      </c>
      <c r="AN7" s="8" t="s">
        <v>83</v>
      </c>
      <c r="AO7" s="8" t="s">
        <v>84</v>
      </c>
      <c r="AP7" s="8" t="s">
        <v>85</v>
      </c>
      <c r="AQ7" s="8" t="s">
        <v>86</v>
      </c>
      <c r="AR7" s="8" t="s">
        <v>87</v>
      </c>
      <c r="AS7" s="8" t="s">
        <v>88</v>
      </c>
      <c r="AT7" s="8" t="s">
        <v>89</v>
      </c>
      <c r="AU7" s="8" t="s">
        <v>90</v>
      </c>
    </row>
    <row r="8" spans="1:47" ht="13.5" x14ac:dyDescent="0.25">
      <c r="A8" s="9" t="s">
        <v>91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  <c r="AM8" s="10" t="s">
        <v>9</v>
      </c>
      <c r="AN8" s="10" t="s">
        <v>9</v>
      </c>
      <c r="AO8" s="10" t="s">
        <v>9</v>
      </c>
      <c r="AP8" s="10" t="s">
        <v>9</v>
      </c>
      <c r="AQ8" s="10" t="s">
        <v>9</v>
      </c>
      <c r="AR8" s="10" t="s">
        <v>9</v>
      </c>
      <c r="AS8" s="10" t="s">
        <v>9</v>
      </c>
      <c r="AT8" s="10" t="s">
        <v>9</v>
      </c>
      <c r="AU8" s="10" t="s">
        <v>9</v>
      </c>
    </row>
    <row r="9" spans="1:47" ht="21" x14ac:dyDescent="0.25">
      <c r="A9" s="11" t="s">
        <v>92</v>
      </c>
      <c r="B9" s="10" t="s">
        <v>9</v>
      </c>
      <c r="C9" s="12">
        <v>67012.600000000006</v>
      </c>
      <c r="D9" s="12">
        <v>103.4</v>
      </c>
      <c r="E9" s="12">
        <v>27.2</v>
      </c>
      <c r="F9" s="12">
        <v>10.199999999999999</v>
      </c>
      <c r="G9" s="12">
        <v>221344.9</v>
      </c>
      <c r="H9" s="12">
        <v>2197.8000000000002</v>
      </c>
      <c r="I9" s="12">
        <v>8765.7999999999993</v>
      </c>
      <c r="J9" s="12">
        <v>3937.3</v>
      </c>
      <c r="K9" s="12">
        <v>15.7</v>
      </c>
      <c r="L9" s="12">
        <v>5128.2</v>
      </c>
      <c r="M9" s="12">
        <v>227.7</v>
      </c>
      <c r="N9" s="12">
        <v>21.9</v>
      </c>
      <c r="O9" s="12">
        <v>138.5</v>
      </c>
      <c r="P9" s="12">
        <v>41.4</v>
      </c>
      <c r="Q9" s="12">
        <v>3.5</v>
      </c>
      <c r="R9" s="12">
        <v>4.4000000000000004</v>
      </c>
      <c r="S9" s="12">
        <v>25.6</v>
      </c>
      <c r="T9" s="12">
        <v>32.200000000000003</v>
      </c>
      <c r="U9" s="12">
        <v>18.3</v>
      </c>
      <c r="V9" s="12">
        <v>940</v>
      </c>
      <c r="W9" s="12">
        <v>113.8</v>
      </c>
      <c r="X9" s="12">
        <v>1771.8</v>
      </c>
      <c r="Y9" s="12">
        <v>3999.1</v>
      </c>
      <c r="Z9" s="12">
        <v>79.599999999999994</v>
      </c>
      <c r="AA9" s="12">
        <v>2242.4</v>
      </c>
      <c r="AB9" s="12">
        <v>23.8</v>
      </c>
      <c r="AC9" s="12">
        <v>14.9</v>
      </c>
      <c r="AD9" s="12">
        <v>63.3</v>
      </c>
      <c r="AE9" s="12">
        <v>55.4</v>
      </c>
      <c r="AF9" s="12">
        <v>314.2</v>
      </c>
      <c r="AG9" s="12">
        <v>3992.7</v>
      </c>
      <c r="AH9" s="12">
        <v>2090.4</v>
      </c>
      <c r="AI9" s="12">
        <v>693.9</v>
      </c>
      <c r="AJ9" s="12">
        <v>1735.3</v>
      </c>
      <c r="AK9" s="12">
        <v>1363.9</v>
      </c>
      <c r="AL9" s="12">
        <v>0</v>
      </c>
      <c r="AM9" s="12">
        <v>109689.9</v>
      </c>
      <c r="AN9" s="12">
        <v>2166.8000000000002</v>
      </c>
      <c r="AO9" s="12">
        <v>71</v>
      </c>
      <c r="AP9" s="12">
        <v>633.4</v>
      </c>
      <c r="AQ9" s="12">
        <v>-143.5</v>
      </c>
      <c r="AR9" s="12">
        <v>1165.5999999999999</v>
      </c>
      <c r="AS9" s="12">
        <v>1920.1</v>
      </c>
      <c r="AT9" s="12">
        <v>49518.6</v>
      </c>
      <c r="AU9" s="12">
        <v>-37816</v>
      </c>
    </row>
    <row r="10" spans="1:47" ht="31.5" x14ac:dyDescent="0.25">
      <c r="A10" s="11" t="s">
        <v>93</v>
      </c>
      <c r="B10" s="10" t="s">
        <v>9</v>
      </c>
      <c r="C10" s="13">
        <v>2211.3000000000002</v>
      </c>
      <c r="D10" s="13">
        <v>20554</v>
      </c>
      <c r="E10" s="13">
        <v>4843.5</v>
      </c>
      <c r="F10" s="13">
        <v>7971.8</v>
      </c>
      <c r="G10" s="13">
        <v>8068.1</v>
      </c>
      <c r="H10" s="13">
        <v>74.5</v>
      </c>
      <c r="I10" s="13">
        <v>73.8</v>
      </c>
      <c r="J10" s="13">
        <v>463.7</v>
      </c>
      <c r="K10" s="13">
        <v>251591.7</v>
      </c>
      <c r="L10" s="13">
        <v>27125</v>
      </c>
      <c r="M10" s="13">
        <v>151.19999999999999</v>
      </c>
      <c r="N10" s="13">
        <v>779.4</v>
      </c>
      <c r="O10" s="13">
        <v>9613.2000000000007</v>
      </c>
      <c r="P10" s="13">
        <v>104.6</v>
      </c>
      <c r="Q10" s="13">
        <v>16.399999999999999</v>
      </c>
      <c r="R10" s="13">
        <v>30.7</v>
      </c>
      <c r="S10" s="13">
        <v>237.6</v>
      </c>
      <c r="T10" s="13">
        <v>121.8</v>
      </c>
      <c r="U10" s="13">
        <v>418.4</v>
      </c>
      <c r="V10" s="13">
        <v>308.3</v>
      </c>
      <c r="W10" s="13">
        <v>41877.5</v>
      </c>
      <c r="X10" s="13">
        <v>944.4</v>
      </c>
      <c r="Y10" s="13">
        <v>670.7</v>
      </c>
      <c r="Z10" s="13">
        <v>7094.5</v>
      </c>
      <c r="AA10" s="13">
        <v>277.5</v>
      </c>
      <c r="AB10" s="13">
        <v>90.5</v>
      </c>
      <c r="AC10" s="13">
        <v>416.6</v>
      </c>
      <c r="AD10" s="13">
        <v>110.3</v>
      </c>
      <c r="AE10" s="13">
        <v>361.3</v>
      </c>
      <c r="AF10" s="13">
        <v>229.7</v>
      </c>
      <c r="AG10" s="13">
        <v>5912</v>
      </c>
      <c r="AH10" s="13">
        <v>20054.8</v>
      </c>
      <c r="AI10" s="13">
        <v>382.4</v>
      </c>
      <c r="AJ10" s="13">
        <v>2687.8</v>
      </c>
      <c r="AK10" s="13">
        <v>3577</v>
      </c>
      <c r="AL10" s="13">
        <v>0</v>
      </c>
      <c r="AM10" s="13">
        <v>9940.1</v>
      </c>
      <c r="AN10" s="13">
        <v>120</v>
      </c>
      <c r="AO10" s="13">
        <v>10.4</v>
      </c>
      <c r="AP10" s="13">
        <v>5733.6</v>
      </c>
      <c r="AQ10" s="13">
        <v>371</v>
      </c>
      <c r="AR10" s="13">
        <v>63.2</v>
      </c>
      <c r="AS10" s="13">
        <v>69.8</v>
      </c>
      <c r="AT10" s="13">
        <v>18940.2</v>
      </c>
      <c r="AU10" s="13">
        <v>-161022.9</v>
      </c>
    </row>
    <row r="11" spans="1:47" ht="31.5" x14ac:dyDescent="0.25">
      <c r="A11" s="11" t="s">
        <v>94</v>
      </c>
      <c r="B11" s="10" t="s">
        <v>9</v>
      </c>
      <c r="C11" s="12">
        <v>551.1</v>
      </c>
      <c r="D11" s="12">
        <v>1199.9000000000001</v>
      </c>
      <c r="E11" s="12">
        <v>836.4</v>
      </c>
      <c r="F11" s="12">
        <v>726.5</v>
      </c>
      <c r="G11" s="12">
        <v>671.5</v>
      </c>
      <c r="H11" s="12">
        <v>34.200000000000003</v>
      </c>
      <c r="I11" s="12">
        <v>37.4</v>
      </c>
      <c r="J11" s="12">
        <v>500.6</v>
      </c>
      <c r="K11" s="12">
        <v>1531.1</v>
      </c>
      <c r="L11" s="12">
        <v>7190.3</v>
      </c>
      <c r="M11" s="12">
        <v>151.30000000000001</v>
      </c>
      <c r="N11" s="12">
        <v>6349.6</v>
      </c>
      <c r="O11" s="12">
        <v>17808.5</v>
      </c>
      <c r="P11" s="12">
        <v>1513</v>
      </c>
      <c r="Q11" s="12">
        <v>122.1</v>
      </c>
      <c r="R11" s="12">
        <v>301.60000000000002</v>
      </c>
      <c r="S11" s="12">
        <v>475.3</v>
      </c>
      <c r="T11" s="12">
        <v>353.5</v>
      </c>
      <c r="U11" s="12">
        <v>157.9</v>
      </c>
      <c r="V11" s="12">
        <v>804.3</v>
      </c>
      <c r="W11" s="12">
        <v>491.7</v>
      </c>
      <c r="X11" s="12">
        <v>10451.799999999999</v>
      </c>
      <c r="Y11" s="12">
        <v>666.5</v>
      </c>
      <c r="Z11" s="12">
        <v>353.8</v>
      </c>
      <c r="AA11" s="12">
        <v>65.5</v>
      </c>
      <c r="AB11" s="12">
        <v>6.9</v>
      </c>
      <c r="AC11" s="12">
        <v>16.899999999999999</v>
      </c>
      <c r="AD11" s="12">
        <v>9.8000000000000007</v>
      </c>
      <c r="AE11" s="12">
        <v>23.1</v>
      </c>
      <c r="AF11" s="12">
        <v>1466.3</v>
      </c>
      <c r="AG11" s="12">
        <v>605.20000000000005</v>
      </c>
      <c r="AH11" s="12">
        <v>1388.6</v>
      </c>
      <c r="AI11" s="12">
        <v>37.700000000000003</v>
      </c>
      <c r="AJ11" s="12">
        <v>163.5</v>
      </c>
      <c r="AK11" s="12">
        <v>195.5</v>
      </c>
      <c r="AL11" s="12">
        <v>0</v>
      </c>
      <c r="AM11" s="12">
        <v>1205.7</v>
      </c>
      <c r="AN11" s="12">
        <v>1.5</v>
      </c>
      <c r="AO11" s="12">
        <v>6.5</v>
      </c>
      <c r="AP11" s="12">
        <v>7905.1</v>
      </c>
      <c r="AQ11" s="12">
        <v>56.9</v>
      </c>
      <c r="AR11" s="12">
        <v>16.5</v>
      </c>
      <c r="AS11" s="12">
        <v>3.8</v>
      </c>
      <c r="AT11" s="12">
        <v>6342.5</v>
      </c>
      <c r="AU11" s="12">
        <v>-7908.2</v>
      </c>
    </row>
    <row r="12" spans="1:47" ht="21" x14ac:dyDescent="0.25">
      <c r="A12" s="11" t="s">
        <v>95</v>
      </c>
      <c r="B12" s="10" t="s">
        <v>9</v>
      </c>
      <c r="C12" s="13">
        <v>3070.6</v>
      </c>
      <c r="D12" s="13">
        <v>27907.3</v>
      </c>
      <c r="E12" s="13">
        <v>9294</v>
      </c>
      <c r="F12" s="13">
        <v>15182.3</v>
      </c>
      <c r="G12" s="13">
        <v>10156.799999999999</v>
      </c>
      <c r="H12" s="13">
        <v>2.9</v>
      </c>
      <c r="I12" s="13">
        <v>5.4</v>
      </c>
      <c r="J12" s="13">
        <v>11.9</v>
      </c>
      <c r="K12" s="13">
        <v>436.8</v>
      </c>
      <c r="L12" s="13">
        <v>4431.8</v>
      </c>
      <c r="M12" s="13">
        <v>13.2</v>
      </c>
      <c r="N12" s="13">
        <v>7.3</v>
      </c>
      <c r="O12" s="13">
        <v>1083.5</v>
      </c>
      <c r="P12" s="13">
        <v>48.5</v>
      </c>
      <c r="Q12" s="13">
        <v>7.4</v>
      </c>
      <c r="R12" s="13">
        <v>9</v>
      </c>
      <c r="S12" s="13">
        <v>34</v>
      </c>
      <c r="T12" s="13">
        <v>60.3</v>
      </c>
      <c r="U12" s="13">
        <v>106.5</v>
      </c>
      <c r="V12" s="13">
        <v>11.9</v>
      </c>
      <c r="W12" s="13">
        <v>537.9</v>
      </c>
      <c r="X12" s="13">
        <v>95.1</v>
      </c>
      <c r="Y12" s="13">
        <v>28.5</v>
      </c>
      <c r="Z12" s="13">
        <v>27.5</v>
      </c>
      <c r="AA12" s="13">
        <v>16.2</v>
      </c>
      <c r="AB12" s="13">
        <v>3.7</v>
      </c>
      <c r="AC12" s="13">
        <v>8.6</v>
      </c>
      <c r="AD12" s="13">
        <v>7.3</v>
      </c>
      <c r="AE12" s="13">
        <v>7.3</v>
      </c>
      <c r="AF12" s="13">
        <v>65.2</v>
      </c>
      <c r="AG12" s="13">
        <v>5618.6</v>
      </c>
      <c r="AH12" s="13">
        <v>87.5</v>
      </c>
      <c r="AI12" s="13">
        <v>4.4000000000000004</v>
      </c>
      <c r="AJ12" s="13">
        <v>17.5</v>
      </c>
      <c r="AK12" s="13">
        <v>148.30000000000001</v>
      </c>
      <c r="AL12" s="13">
        <v>0</v>
      </c>
      <c r="AM12" s="13">
        <v>180.1</v>
      </c>
      <c r="AN12" s="13">
        <v>0.6</v>
      </c>
      <c r="AO12" s="13">
        <v>0.3</v>
      </c>
      <c r="AP12" s="13">
        <v>7591.1</v>
      </c>
      <c r="AQ12" s="13">
        <v>24.9</v>
      </c>
      <c r="AR12" s="13">
        <v>4.5999999999999996</v>
      </c>
      <c r="AS12" s="13">
        <v>0.9</v>
      </c>
      <c r="AT12" s="13">
        <v>2983.2</v>
      </c>
      <c r="AU12" s="13">
        <v>-1554.4</v>
      </c>
    </row>
    <row r="13" spans="1:47" ht="21" x14ac:dyDescent="0.25">
      <c r="A13" s="11" t="s">
        <v>96</v>
      </c>
      <c r="B13" s="10" t="s">
        <v>9</v>
      </c>
      <c r="C13" s="12">
        <v>32898.800000000003</v>
      </c>
      <c r="D13" s="12">
        <v>40.200000000000003</v>
      </c>
      <c r="E13" s="12">
        <v>20</v>
      </c>
      <c r="F13" s="12">
        <v>21.7</v>
      </c>
      <c r="G13" s="12">
        <v>109205.7</v>
      </c>
      <c r="H13" s="12">
        <v>627</v>
      </c>
      <c r="I13" s="12">
        <v>263.5</v>
      </c>
      <c r="J13" s="12">
        <v>1915.2</v>
      </c>
      <c r="K13" s="12">
        <v>514.4</v>
      </c>
      <c r="L13" s="12">
        <v>9607.9</v>
      </c>
      <c r="M13" s="12">
        <v>1679.5</v>
      </c>
      <c r="N13" s="12">
        <v>244.7</v>
      </c>
      <c r="O13" s="12">
        <v>271</v>
      </c>
      <c r="P13" s="12">
        <v>390.2</v>
      </c>
      <c r="Q13" s="12">
        <v>180.3</v>
      </c>
      <c r="R13" s="12">
        <v>151</v>
      </c>
      <c r="S13" s="12">
        <v>398.5</v>
      </c>
      <c r="T13" s="12">
        <v>888.1</v>
      </c>
      <c r="U13" s="12">
        <v>394.5</v>
      </c>
      <c r="V13" s="12">
        <v>537.1</v>
      </c>
      <c r="W13" s="12">
        <v>494.6</v>
      </c>
      <c r="X13" s="12">
        <v>1400.9</v>
      </c>
      <c r="Y13" s="12">
        <v>14772.9</v>
      </c>
      <c r="Z13" s="12">
        <v>935.8</v>
      </c>
      <c r="AA13" s="12">
        <v>103985.8</v>
      </c>
      <c r="AB13" s="12">
        <v>328.8</v>
      </c>
      <c r="AC13" s="12">
        <v>172.6</v>
      </c>
      <c r="AD13" s="12">
        <v>201.8</v>
      </c>
      <c r="AE13" s="12">
        <v>545.29999999999995</v>
      </c>
      <c r="AF13" s="12">
        <v>1336.6</v>
      </c>
      <c r="AG13" s="12">
        <v>4232</v>
      </c>
      <c r="AH13" s="12">
        <v>16752.099999999999</v>
      </c>
      <c r="AI13" s="12">
        <v>2774.9</v>
      </c>
      <c r="AJ13" s="12">
        <v>20849.099999999999</v>
      </c>
      <c r="AK13" s="12">
        <v>6603.2</v>
      </c>
      <c r="AL13" s="12">
        <v>0</v>
      </c>
      <c r="AM13" s="12">
        <v>601442.9</v>
      </c>
      <c r="AN13" s="12">
        <v>9711.2999999999993</v>
      </c>
      <c r="AO13" s="12">
        <v>367.5</v>
      </c>
      <c r="AP13" s="12">
        <v>983.8</v>
      </c>
      <c r="AQ13" s="12">
        <v>227.1</v>
      </c>
      <c r="AR13" s="12">
        <v>4374.2</v>
      </c>
      <c r="AS13" s="12">
        <v>7370.3</v>
      </c>
      <c r="AT13" s="12">
        <v>60181.5</v>
      </c>
      <c r="AU13" s="12">
        <v>-84486.2</v>
      </c>
    </row>
    <row r="14" spans="1:47" ht="31.5" x14ac:dyDescent="0.25">
      <c r="A14" s="11" t="s">
        <v>97</v>
      </c>
      <c r="B14" s="10" t="s">
        <v>9</v>
      </c>
      <c r="C14" s="13">
        <v>356</v>
      </c>
      <c r="D14" s="13">
        <v>59.9</v>
      </c>
      <c r="E14" s="13">
        <v>28.6</v>
      </c>
      <c r="F14" s="13">
        <v>27</v>
      </c>
      <c r="G14" s="13">
        <v>587.9</v>
      </c>
      <c r="H14" s="13">
        <v>11850.3</v>
      </c>
      <c r="I14" s="13">
        <v>629.6</v>
      </c>
      <c r="J14" s="13">
        <v>2131.6999999999998</v>
      </c>
      <c r="K14" s="13">
        <v>65.5</v>
      </c>
      <c r="L14" s="13">
        <v>2129.6999999999998</v>
      </c>
      <c r="M14" s="13">
        <v>2063.9</v>
      </c>
      <c r="N14" s="13">
        <v>270.7</v>
      </c>
      <c r="O14" s="13">
        <v>93</v>
      </c>
      <c r="P14" s="13">
        <v>188.1</v>
      </c>
      <c r="Q14" s="13">
        <v>149.5</v>
      </c>
      <c r="R14" s="13">
        <v>70.8</v>
      </c>
      <c r="S14" s="13">
        <v>647</v>
      </c>
      <c r="T14" s="13">
        <v>4312.8</v>
      </c>
      <c r="U14" s="13">
        <v>948.4</v>
      </c>
      <c r="V14" s="13">
        <v>5590.7</v>
      </c>
      <c r="W14" s="13">
        <v>268.60000000000002</v>
      </c>
      <c r="X14" s="13">
        <v>1482.6</v>
      </c>
      <c r="Y14" s="13">
        <v>7163.8</v>
      </c>
      <c r="Z14" s="13">
        <v>925.7</v>
      </c>
      <c r="AA14" s="13">
        <v>989.3</v>
      </c>
      <c r="AB14" s="13">
        <v>187.2</v>
      </c>
      <c r="AC14" s="13">
        <v>93.8</v>
      </c>
      <c r="AD14" s="13">
        <v>165.7</v>
      </c>
      <c r="AE14" s="13">
        <v>348.9</v>
      </c>
      <c r="AF14" s="13">
        <v>237.2</v>
      </c>
      <c r="AG14" s="13">
        <v>2377.1999999999998</v>
      </c>
      <c r="AH14" s="13">
        <v>5265.9</v>
      </c>
      <c r="AI14" s="13">
        <v>419</v>
      </c>
      <c r="AJ14" s="13">
        <v>5415.3</v>
      </c>
      <c r="AK14" s="13">
        <v>2442</v>
      </c>
      <c r="AL14" s="13">
        <v>0</v>
      </c>
      <c r="AM14" s="13">
        <v>158748.20000000001</v>
      </c>
      <c r="AN14" s="13">
        <v>685.7</v>
      </c>
      <c r="AO14" s="13">
        <v>39.299999999999997</v>
      </c>
      <c r="AP14" s="13">
        <v>582.29999999999995</v>
      </c>
      <c r="AQ14" s="13">
        <v>111.9</v>
      </c>
      <c r="AR14" s="13">
        <v>2363.9</v>
      </c>
      <c r="AS14" s="13">
        <v>1232.9000000000001</v>
      </c>
      <c r="AT14" s="13">
        <v>8336.7999999999993</v>
      </c>
      <c r="AU14" s="13">
        <v>-145065.5</v>
      </c>
    </row>
    <row r="15" spans="1:47" ht="31.5" x14ac:dyDescent="0.25">
      <c r="A15" s="11" t="s">
        <v>98</v>
      </c>
      <c r="B15" s="10" t="s">
        <v>9</v>
      </c>
      <c r="C15" s="12">
        <v>745.1</v>
      </c>
      <c r="D15" s="12">
        <v>160.4</v>
      </c>
      <c r="E15" s="12">
        <v>72.2</v>
      </c>
      <c r="F15" s="12">
        <v>20.6</v>
      </c>
      <c r="G15" s="12">
        <v>800.4</v>
      </c>
      <c r="H15" s="12">
        <v>119.2</v>
      </c>
      <c r="I15" s="12">
        <v>19684.7</v>
      </c>
      <c r="J15" s="12">
        <v>4820.8</v>
      </c>
      <c r="K15" s="12">
        <v>8.5</v>
      </c>
      <c r="L15" s="12">
        <v>1218.7</v>
      </c>
      <c r="M15" s="12">
        <v>1232</v>
      </c>
      <c r="N15" s="12">
        <v>304.39999999999998</v>
      </c>
      <c r="O15" s="12">
        <v>144.4</v>
      </c>
      <c r="P15" s="12">
        <v>485.4</v>
      </c>
      <c r="Q15" s="12">
        <v>128.69999999999999</v>
      </c>
      <c r="R15" s="12">
        <v>248.2</v>
      </c>
      <c r="S15" s="12">
        <v>666.3</v>
      </c>
      <c r="T15" s="12">
        <v>2950</v>
      </c>
      <c r="U15" s="12">
        <v>730.9</v>
      </c>
      <c r="V15" s="12">
        <v>16448.900000000001</v>
      </c>
      <c r="W15" s="12">
        <v>596</v>
      </c>
      <c r="X15" s="12">
        <v>25108.9</v>
      </c>
      <c r="Y15" s="12">
        <v>3051.1</v>
      </c>
      <c r="Z15" s="12">
        <v>683.7</v>
      </c>
      <c r="AA15" s="12">
        <v>3177.4</v>
      </c>
      <c r="AB15" s="12">
        <v>237.3</v>
      </c>
      <c r="AC15" s="12">
        <v>126.3</v>
      </c>
      <c r="AD15" s="12">
        <v>182.2</v>
      </c>
      <c r="AE15" s="12">
        <v>130.69999999999999</v>
      </c>
      <c r="AF15" s="12">
        <v>4479</v>
      </c>
      <c r="AG15" s="12">
        <v>3878.4</v>
      </c>
      <c r="AH15" s="12">
        <v>3127.4</v>
      </c>
      <c r="AI15" s="12">
        <v>259.39999999999998</v>
      </c>
      <c r="AJ15" s="12">
        <v>934.3</v>
      </c>
      <c r="AK15" s="12">
        <v>1878.6</v>
      </c>
      <c r="AL15" s="12">
        <v>0</v>
      </c>
      <c r="AM15" s="12">
        <v>7780.5</v>
      </c>
      <c r="AN15" s="12">
        <v>1.7</v>
      </c>
      <c r="AO15" s="12">
        <v>1.2</v>
      </c>
      <c r="AP15" s="12">
        <v>2066</v>
      </c>
      <c r="AQ15" s="12">
        <v>262.89999999999998</v>
      </c>
      <c r="AR15" s="12">
        <v>163.19999999999999</v>
      </c>
      <c r="AS15" s="12">
        <v>205</v>
      </c>
      <c r="AT15" s="12">
        <v>6289.2</v>
      </c>
      <c r="AU15" s="12">
        <v>-16997.3</v>
      </c>
    </row>
    <row r="16" spans="1:47" ht="21" x14ac:dyDescent="0.25">
      <c r="A16" s="11" t="s">
        <v>99</v>
      </c>
      <c r="B16" s="10" t="s">
        <v>9</v>
      </c>
      <c r="C16" s="13">
        <v>864.6</v>
      </c>
      <c r="D16" s="13">
        <v>66.5</v>
      </c>
      <c r="E16" s="13">
        <v>71</v>
      </c>
      <c r="F16" s="13">
        <v>27.3</v>
      </c>
      <c r="G16" s="13">
        <v>12726.7</v>
      </c>
      <c r="H16" s="13">
        <v>1812.7</v>
      </c>
      <c r="I16" s="13">
        <v>823.2</v>
      </c>
      <c r="J16" s="13">
        <v>44981.7</v>
      </c>
      <c r="K16" s="13">
        <v>99</v>
      </c>
      <c r="L16" s="13">
        <v>6696.4</v>
      </c>
      <c r="M16" s="13">
        <v>5593.8</v>
      </c>
      <c r="N16" s="13">
        <v>1260.7</v>
      </c>
      <c r="O16" s="13">
        <v>835.3</v>
      </c>
      <c r="P16" s="13">
        <v>2908.9</v>
      </c>
      <c r="Q16" s="13">
        <v>576.1</v>
      </c>
      <c r="R16" s="13">
        <v>849.7</v>
      </c>
      <c r="S16" s="13">
        <v>1956.1</v>
      </c>
      <c r="T16" s="13">
        <v>4846</v>
      </c>
      <c r="U16" s="13">
        <v>1323.8</v>
      </c>
      <c r="V16" s="13">
        <v>3070.3</v>
      </c>
      <c r="W16" s="13">
        <v>1840.6</v>
      </c>
      <c r="X16" s="13">
        <v>4572.1000000000004</v>
      </c>
      <c r="Y16" s="13">
        <v>13367.7</v>
      </c>
      <c r="Z16" s="13">
        <v>3235.1</v>
      </c>
      <c r="AA16" s="13">
        <v>7034.1</v>
      </c>
      <c r="AB16" s="13">
        <v>8316.5</v>
      </c>
      <c r="AC16" s="13">
        <v>2382</v>
      </c>
      <c r="AD16" s="13">
        <v>3109.5</v>
      </c>
      <c r="AE16" s="13">
        <v>5304.1</v>
      </c>
      <c r="AF16" s="13">
        <v>833.1</v>
      </c>
      <c r="AG16" s="13">
        <v>18660.2</v>
      </c>
      <c r="AH16" s="13">
        <v>15413.6</v>
      </c>
      <c r="AI16" s="13">
        <v>2882.5</v>
      </c>
      <c r="AJ16" s="13">
        <v>10312.299999999999</v>
      </c>
      <c r="AK16" s="13">
        <v>6483.5</v>
      </c>
      <c r="AL16" s="13">
        <v>0</v>
      </c>
      <c r="AM16" s="13">
        <v>64058.7</v>
      </c>
      <c r="AN16" s="13">
        <v>49.6</v>
      </c>
      <c r="AO16" s="13">
        <v>17</v>
      </c>
      <c r="AP16" s="13">
        <v>1888.5</v>
      </c>
      <c r="AQ16" s="13">
        <v>229.8</v>
      </c>
      <c r="AR16" s="13">
        <v>471.1</v>
      </c>
      <c r="AS16" s="13">
        <v>1161.8</v>
      </c>
      <c r="AT16" s="13">
        <v>30004.1</v>
      </c>
      <c r="AU16" s="13">
        <v>-23813.7</v>
      </c>
    </row>
    <row r="17" spans="1:47" ht="21" x14ac:dyDescent="0.25">
      <c r="A17" s="11" t="s">
        <v>100</v>
      </c>
      <c r="B17" s="10" t="s">
        <v>9</v>
      </c>
      <c r="C17" s="12">
        <v>10126.4</v>
      </c>
      <c r="D17" s="12">
        <v>507.6</v>
      </c>
      <c r="E17" s="12">
        <v>704</v>
      </c>
      <c r="F17" s="12">
        <v>382.5</v>
      </c>
      <c r="G17" s="12">
        <v>4523.8999999999996</v>
      </c>
      <c r="H17" s="12">
        <v>312</v>
      </c>
      <c r="I17" s="12">
        <v>593.6</v>
      </c>
      <c r="J17" s="12">
        <v>3180.1</v>
      </c>
      <c r="K17" s="12">
        <v>4852.3999999999996</v>
      </c>
      <c r="L17" s="12">
        <v>25880</v>
      </c>
      <c r="M17" s="12">
        <v>1423.5</v>
      </c>
      <c r="N17" s="12">
        <v>735.6</v>
      </c>
      <c r="O17" s="12">
        <v>5591.2</v>
      </c>
      <c r="P17" s="12">
        <v>1167.0999999999999</v>
      </c>
      <c r="Q17" s="12">
        <v>155.1</v>
      </c>
      <c r="R17" s="12">
        <v>760.2</v>
      </c>
      <c r="S17" s="12">
        <v>1189.4000000000001</v>
      </c>
      <c r="T17" s="12">
        <v>859.8</v>
      </c>
      <c r="U17" s="12">
        <v>2349.5</v>
      </c>
      <c r="V17" s="12">
        <v>1421.2</v>
      </c>
      <c r="W17" s="12">
        <v>8364.7000000000007</v>
      </c>
      <c r="X17" s="12">
        <v>26306</v>
      </c>
      <c r="Y17" s="12">
        <v>3998.7</v>
      </c>
      <c r="Z17" s="12">
        <v>88382.6</v>
      </c>
      <c r="AA17" s="12">
        <v>2094.4</v>
      </c>
      <c r="AB17" s="12">
        <v>461.8</v>
      </c>
      <c r="AC17" s="12">
        <v>1605.7</v>
      </c>
      <c r="AD17" s="12">
        <v>1421.2</v>
      </c>
      <c r="AE17" s="12">
        <v>2337.4</v>
      </c>
      <c r="AF17" s="12">
        <v>3197.1</v>
      </c>
      <c r="AG17" s="12">
        <v>12335.1</v>
      </c>
      <c r="AH17" s="12">
        <v>56326.6</v>
      </c>
      <c r="AI17" s="12">
        <v>1594.6</v>
      </c>
      <c r="AJ17" s="12">
        <v>6481.2</v>
      </c>
      <c r="AK17" s="12">
        <v>5032.3</v>
      </c>
      <c r="AL17" s="12">
        <v>0</v>
      </c>
      <c r="AM17" s="12">
        <v>170851.7</v>
      </c>
      <c r="AN17" s="12">
        <v>4.0999999999999996</v>
      </c>
      <c r="AO17" s="12">
        <v>43.8</v>
      </c>
      <c r="AP17" s="12">
        <v>590.70000000000005</v>
      </c>
      <c r="AQ17" s="12">
        <v>549.1</v>
      </c>
      <c r="AR17" s="12">
        <v>1039</v>
      </c>
      <c r="AS17" s="12">
        <v>2736.2</v>
      </c>
      <c r="AT17" s="12">
        <v>83383.3</v>
      </c>
      <c r="AU17" s="12">
        <v>-55734.3</v>
      </c>
    </row>
    <row r="18" spans="1:47" ht="21" x14ac:dyDescent="0.25">
      <c r="A18" s="11" t="s">
        <v>101</v>
      </c>
      <c r="B18" s="10" t="s">
        <v>9</v>
      </c>
      <c r="C18" s="13">
        <v>16289.2</v>
      </c>
      <c r="D18" s="13">
        <v>701.3</v>
      </c>
      <c r="E18" s="13">
        <v>348.3</v>
      </c>
      <c r="F18" s="13">
        <v>283</v>
      </c>
      <c r="G18" s="13">
        <v>7120.1</v>
      </c>
      <c r="H18" s="13">
        <v>5688.3</v>
      </c>
      <c r="I18" s="13">
        <v>2626.9</v>
      </c>
      <c r="J18" s="13">
        <v>10052.1</v>
      </c>
      <c r="K18" s="13">
        <v>7325.3</v>
      </c>
      <c r="L18" s="13">
        <v>106423</v>
      </c>
      <c r="M18" s="13">
        <v>36591.4</v>
      </c>
      <c r="N18" s="13">
        <v>3196.8</v>
      </c>
      <c r="O18" s="13">
        <v>5974.9</v>
      </c>
      <c r="P18" s="13">
        <v>6845.1</v>
      </c>
      <c r="Q18" s="13">
        <v>3214.2</v>
      </c>
      <c r="R18" s="13">
        <v>2538.4</v>
      </c>
      <c r="S18" s="13">
        <v>4774.8999999999996</v>
      </c>
      <c r="T18" s="13">
        <v>10886.4</v>
      </c>
      <c r="U18" s="13">
        <v>4495.3999999999996</v>
      </c>
      <c r="V18" s="13">
        <v>5131.6000000000004</v>
      </c>
      <c r="W18" s="13">
        <v>2171.9</v>
      </c>
      <c r="X18" s="13">
        <v>11890.3</v>
      </c>
      <c r="Y18" s="13">
        <v>10437.700000000001</v>
      </c>
      <c r="Z18" s="13">
        <v>4685.3999999999996</v>
      </c>
      <c r="AA18" s="13">
        <v>2841.8</v>
      </c>
      <c r="AB18" s="13">
        <v>1813</v>
      </c>
      <c r="AC18" s="13">
        <v>1184.3</v>
      </c>
      <c r="AD18" s="13">
        <v>707.2</v>
      </c>
      <c r="AE18" s="13">
        <v>935.4</v>
      </c>
      <c r="AF18" s="13">
        <v>6011.6</v>
      </c>
      <c r="AG18" s="13">
        <v>13098.4</v>
      </c>
      <c r="AH18" s="13">
        <v>13024.2</v>
      </c>
      <c r="AI18" s="13">
        <v>2668.6</v>
      </c>
      <c r="AJ18" s="13">
        <v>82628.800000000003</v>
      </c>
      <c r="AK18" s="13">
        <v>7452.8</v>
      </c>
      <c r="AL18" s="13">
        <v>0</v>
      </c>
      <c r="AM18" s="13">
        <v>395215.5</v>
      </c>
      <c r="AN18" s="13">
        <v>137.5</v>
      </c>
      <c r="AO18" s="13">
        <v>4681.7</v>
      </c>
      <c r="AP18" s="13">
        <v>7342.1</v>
      </c>
      <c r="AQ18" s="13">
        <v>1419.3</v>
      </c>
      <c r="AR18" s="13">
        <v>982.4</v>
      </c>
      <c r="AS18" s="13">
        <v>1918.4</v>
      </c>
      <c r="AT18" s="13">
        <v>136712.4</v>
      </c>
      <c r="AU18" s="13">
        <v>-165140.70000000001</v>
      </c>
    </row>
    <row r="19" spans="1:47" ht="21" x14ac:dyDescent="0.25">
      <c r="A19" s="11" t="s">
        <v>102</v>
      </c>
      <c r="B19" s="10" t="s">
        <v>9</v>
      </c>
      <c r="C19" s="12">
        <v>2124.5</v>
      </c>
      <c r="D19" s="12">
        <v>308.89999999999998</v>
      </c>
      <c r="E19" s="12">
        <v>210.7</v>
      </c>
      <c r="F19" s="12">
        <v>126.6</v>
      </c>
      <c r="G19" s="12">
        <v>12477.3</v>
      </c>
      <c r="H19" s="12">
        <v>1009.1</v>
      </c>
      <c r="I19" s="12">
        <v>812</v>
      </c>
      <c r="J19" s="12">
        <v>3584.7</v>
      </c>
      <c r="K19" s="12">
        <v>92.4</v>
      </c>
      <c r="L19" s="12">
        <v>8378.4</v>
      </c>
      <c r="M19" s="12">
        <v>16729.5</v>
      </c>
      <c r="N19" s="12">
        <v>1023.5</v>
      </c>
      <c r="O19" s="12">
        <v>1957.2</v>
      </c>
      <c r="P19" s="12">
        <v>3435.4</v>
      </c>
      <c r="Q19" s="12">
        <v>990.8</v>
      </c>
      <c r="R19" s="12">
        <v>1324.5</v>
      </c>
      <c r="S19" s="12">
        <v>7177.3</v>
      </c>
      <c r="T19" s="12">
        <v>27216.3</v>
      </c>
      <c r="U19" s="12">
        <v>7150.6</v>
      </c>
      <c r="V19" s="12">
        <v>5863.8</v>
      </c>
      <c r="W19" s="12">
        <v>1302.2</v>
      </c>
      <c r="X19" s="12">
        <v>21824.9</v>
      </c>
      <c r="Y19" s="12">
        <v>13765.2</v>
      </c>
      <c r="Z19" s="12">
        <v>7570.7</v>
      </c>
      <c r="AA19" s="12">
        <v>7206.4</v>
      </c>
      <c r="AB19" s="12">
        <v>496.8</v>
      </c>
      <c r="AC19" s="12">
        <v>1670.9</v>
      </c>
      <c r="AD19" s="12">
        <v>679.8</v>
      </c>
      <c r="AE19" s="12">
        <v>931.2</v>
      </c>
      <c r="AF19" s="12">
        <v>2515</v>
      </c>
      <c r="AG19" s="12">
        <v>7967.4</v>
      </c>
      <c r="AH19" s="12">
        <v>9488.2999999999993</v>
      </c>
      <c r="AI19" s="12">
        <v>2634.5</v>
      </c>
      <c r="AJ19" s="12">
        <v>11039.6</v>
      </c>
      <c r="AK19" s="12">
        <v>2576.5</v>
      </c>
      <c r="AL19" s="12">
        <v>0</v>
      </c>
      <c r="AM19" s="12">
        <v>52725.3</v>
      </c>
      <c r="AN19" s="12">
        <v>9.5</v>
      </c>
      <c r="AO19" s="12">
        <v>9.1999999999999993</v>
      </c>
      <c r="AP19" s="12">
        <v>5435.4</v>
      </c>
      <c r="AQ19" s="12">
        <v>1005.3</v>
      </c>
      <c r="AR19" s="12">
        <v>55.5</v>
      </c>
      <c r="AS19" s="12">
        <v>61.4</v>
      </c>
      <c r="AT19" s="12">
        <v>27545.8</v>
      </c>
      <c r="AU19" s="12">
        <v>-49527.3</v>
      </c>
    </row>
    <row r="20" spans="1:47" ht="21" x14ac:dyDescent="0.25">
      <c r="A20" s="11" t="s">
        <v>103</v>
      </c>
      <c r="B20" s="10" t="s">
        <v>9</v>
      </c>
      <c r="C20" s="13">
        <v>151.6</v>
      </c>
      <c r="D20" s="13">
        <v>102.1</v>
      </c>
      <c r="E20" s="13">
        <v>226.9</v>
      </c>
      <c r="F20" s="13">
        <v>142.9</v>
      </c>
      <c r="G20" s="13">
        <v>4353.8999999999996</v>
      </c>
      <c r="H20" s="13">
        <v>344</v>
      </c>
      <c r="I20" s="13">
        <v>1307.5</v>
      </c>
      <c r="J20" s="13">
        <v>651.9</v>
      </c>
      <c r="K20" s="13">
        <v>266.60000000000002</v>
      </c>
      <c r="L20" s="13">
        <v>3320</v>
      </c>
      <c r="M20" s="13">
        <v>2199.8000000000002</v>
      </c>
      <c r="N20" s="13">
        <v>14361.8</v>
      </c>
      <c r="O20" s="13">
        <v>1659.8</v>
      </c>
      <c r="P20" s="13">
        <v>1655.7</v>
      </c>
      <c r="Q20" s="13">
        <v>236.1</v>
      </c>
      <c r="R20" s="13">
        <v>1057.5</v>
      </c>
      <c r="S20" s="13">
        <v>1852.3</v>
      </c>
      <c r="T20" s="13">
        <v>7860.5</v>
      </c>
      <c r="U20" s="13">
        <v>1468.6</v>
      </c>
      <c r="V20" s="13">
        <v>1487.8</v>
      </c>
      <c r="W20" s="13">
        <v>745.7</v>
      </c>
      <c r="X20" s="13">
        <v>48327.7</v>
      </c>
      <c r="Y20" s="13">
        <v>1509</v>
      </c>
      <c r="Z20" s="13">
        <v>1133</v>
      </c>
      <c r="AA20" s="13">
        <v>4766.8</v>
      </c>
      <c r="AB20" s="13">
        <v>77.2</v>
      </c>
      <c r="AC20" s="13">
        <v>341.1</v>
      </c>
      <c r="AD20" s="13">
        <v>175.6</v>
      </c>
      <c r="AE20" s="13">
        <v>237.7</v>
      </c>
      <c r="AF20" s="13">
        <v>1423.6</v>
      </c>
      <c r="AG20" s="13">
        <v>3339.8</v>
      </c>
      <c r="AH20" s="13">
        <v>3768.1</v>
      </c>
      <c r="AI20" s="13">
        <v>658.6</v>
      </c>
      <c r="AJ20" s="13">
        <v>4558.3999999999996</v>
      </c>
      <c r="AK20" s="13">
        <v>1376.4</v>
      </c>
      <c r="AL20" s="13">
        <v>0</v>
      </c>
      <c r="AM20" s="13">
        <v>15837.2</v>
      </c>
      <c r="AN20" s="13">
        <v>5.4</v>
      </c>
      <c r="AO20" s="13">
        <v>10.6</v>
      </c>
      <c r="AP20" s="13">
        <v>1968.1</v>
      </c>
      <c r="AQ20" s="13">
        <v>136.4</v>
      </c>
      <c r="AR20" s="13">
        <v>28.4</v>
      </c>
      <c r="AS20" s="13">
        <v>17.7</v>
      </c>
      <c r="AT20" s="13">
        <v>10452.299999999999</v>
      </c>
      <c r="AU20" s="13">
        <v>-26110.400000000001</v>
      </c>
    </row>
    <row r="21" spans="1:47" ht="21" x14ac:dyDescent="0.25">
      <c r="A21" s="11" t="s">
        <v>104</v>
      </c>
      <c r="B21" s="10" t="s">
        <v>9</v>
      </c>
      <c r="C21" s="12">
        <v>236.9</v>
      </c>
      <c r="D21" s="12">
        <v>292.8</v>
      </c>
      <c r="E21" s="12">
        <v>146.80000000000001</v>
      </c>
      <c r="F21" s="12">
        <v>393.7</v>
      </c>
      <c r="G21" s="12">
        <v>1078.5</v>
      </c>
      <c r="H21" s="12">
        <v>68.2</v>
      </c>
      <c r="I21" s="12">
        <v>185.5</v>
      </c>
      <c r="J21" s="12">
        <v>1770.9</v>
      </c>
      <c r="K21" s="12">
        <v>170.2</v>
      </c>
      <c r="L21" s="12">
        <v>1865.7</v>
      </c>
      <c r="M21" s="12">
        <v>1375</v>
      </c>
      <c r="N21" s="12">
        <v>1089.7</v>
      </c>
      <c r="O21" s="12">
        <v>41911.5</v>
      </c>
      <c r="P21" s="12">
        <v>57483.5</v>
      </c>
      <c r="Q21" s="12">
        <v>4779.8999999999996</v>
      </c>
      <c r="R21" s="12">
        <v>12082.9</v>
      </c>
      <c r="S21" s="12">
        <v>24688.1</v>
      </c>
      <c r="T21" s="12">
        <v>32379.8</v>
      </c>
      <c r="U21" s="12">
        <v>16457.7</v>
      </c>
      <c r="V21" s="12">
        <v>12036.6</v>
      </c>
      <c r="W21" s="12">
        <v>1726.8</v>
      </c>
      <c r="X21" s="12">
        <v>32067.8</v>
      </c>
      <c r="Y21" s="12">
        <v>4423.7</v>
      </c>
      <c r="Z21" s="12">
        <v>558.79999999999995</v>
      </c>
      <c r="AA21" s="12">
        <v>125.9</v>
      </c>
      <c r="AB21" s="12">
        <v>60.8</v>
      </c>
      <c r="AC21" s="12">
        <v>370.8</v>
      </c>
      <c r="AD21" s="12">
        <v>44.1</v>
      </c>
      <c r="AE21" s="12">
        <v>71.599999999999994</v>
      </c>
      <c r="AF21" s="12">
        <v>503.4</v>
      </c>
      <c r="AG21" s="12">
        <v>788.6</v>
      </c>
      <c r="AH21" s="12">
        <v>846.8</v>
      </c>
      <c r="AI21" s="12">
        <v>153.5</v>
      </c>
      <c r="AJ21" s="12">
        <v>610.5</v>
      </c>
      <c r="AK21" s="12">
        <v>475.5</v>
      </c>
      <c r="AL21" s="12">
        <v>0</v>
      </c>
      <c r="AM21" s="12">
        <v>3866.5</v>
      </c>
      <c r="AN21" s="12">
        <v>5.7</v>
      </c>
      <c r="AO21" s="12">
        <v>3.1</v>
      </c>
      <c r="AP21" s="12">
        <v>1607.6</v>
      </c>
      <c r="AQ21" s="12">
        <v>245</v>
      </c>
      <c r="AR21" s="12">
        <v>62.1</v>
      </c>
      <c r="AS21" s="12">
        <v>2.8</v>
      </c>
      <c r="AT21" s="12">
        <v>43658.1</v>
      </c>
      <c r="AU21" s="12">
        <v>-77529.899999999994</v>
      </c>
    </row>
    <row r="22" spans="1:47" ht="31.5" x14ac:dyDescent="0.25">
      <c r="A22" s="11" t="s">
        <v>105</v>
      </c>
      <c r="B22" s="10" t="s">
        <v>9</v>
      </c>
      <c r="C22" s="13">
        <v>3511.3</v>
      </c>
      <c r="D22" s="13">
        <v>693.5</v>
      </c>
      <c r="E22" s="13">
        <v>329.3</v>
      </c>
      <c r="F22" s="13">
        <v>257.39999999999998</v>
      </c>
      <c r="G22" s="13">
        <v>10648.4</v>
      </c>
      <c r="H22" s="13">
        <v>943.6</v>
      </c>
      <c r="I22" s="13">
        <v>3060.2</v>
      </c>
      <c r="J22" s="13">
        <v>6706</v>
      </c>
      <c r="K22" s="13">
        <v>146.30000000000001</v>
      </c>
      <c r="L22" s="13">
        <v>5599.4</v>
      </c>
      <c r="M22" s="13">
        <v>7947.4</v>
      </c>
      <c r="N22" s="13">
        <v>2787.1</v>
      </c>
      <c r="O22" s="13">
        <v>10872.1</v>
      </c>
      <c r="P22" s="13">
        <v>41894.400000000001</v>
      </c>
      <c r="Q22" s="13">
        <v>4414.8999999999996</v>
      </c>
      <c r="R22" s="13">
        <v>6825.3</v>
      </c>
      <c r="S22" s="13">
        <v>26061.599999999999</v>
      </c>
      <c r="T22" s="13">
        <v>46947.3</v>
      </c>
      <c r="U22" s="13">
        <v>13756.7</v>
      </c>
      <c r="V22" s="13">
        <v>7331.8</v>
      </c>
      <c r="W22" s="13">
        <v>2902.5</v>
      </c>
      <c r="X22" s="13">
        <v>70265.5</v>
      </c>
      <c r="Y22" s="13">
        <v>4965.8</v>
      </c>
      <c r="Z22" s="13">
        <v>5718.6</v>
      </c>
      <c r="AA22" s="13">
        <v>8497.7999999999993</v>
      </c>
      <c r="AB22" s="13">
        <v>680.5</v>
      </c>
      <c r="AC22" s="13">
        <v>939.7</v>
      </c>
      <c r="AD22" s="13">
        <v>955.4</v>
      </c>
      <c r="AE22" s="13">
        <v>535.5</v>
      </c>
      <c r="AF22" s="13">
        <v>2915.2</v>
      </c>
      <c r="AG22" s="13">
        <v>11007.2</v>
      </c>
      <c r="AH22" s="13">
        <v>18085.099999999999</v>
      </c>
      <c r="AI22" s="13">
        <v>1619.2</v>
      </c>
      <c r="AJ22" s="13">
        <v>3028.3</v>
      </c>
      <c r="AK22" s="13">
        <v>2741.1</v>
      </c>
      <c r="AL22" s="13">
        <v>0</v>
      </c>
      <c r="AM22" s="13">
        <v>36580.800000000003</v>
      </c>
      <c r="AN22" s="13">
        <v>12.3</v>
      </c>
      <c r="AO22" s="13">
        <v>18.5</v>
      </c>
      <c r="AP22" s="13">
        <v>14052.8</v>
      </c>
      <c r="AQ22" s="13">
        <v>2702.7</v>
      </c>
      <c r="AR22" s="13">
        <v>67.5</v>
      </c>
      <c r="AS22" s="13">
        <v>83.6</v>
      </c>
      <c r="AT22" s="13">
        <v>43973.8</v>
      </c>
      <c r="AU22" s="13">
        <v>-65502.400000000001</v>
      </c>
    </row>
    <row r="23" spans="1:47" ht="21" x14ac:dyDescent="0.25">
      <c r="A23" s="11" t="s">
        <v>106</v>
      </c>
      <c r="B23" s="10" t="s">
        <v>9</v>
      </c>
      <c r="C23" s="12">
        <v>471.8</v>
      </c>
      <c r="D23" s="12">
        <v>135.19999999999999</v>
      </c>
      <c r="E23" s="12">
        <v>110.9</v>
      </c>
      <c r="F23" s="12">
        <v>194</v>
      </c>
      <c r="G23" s="12">
        <v>1398.2</v>
      </c>
      <c r="H23" s="12">
        <v>1117.5999999999999</v>
      </c>
      <c r="I23" s="12">
        <v>1432.8</v>
      </c>
      <c r="J23" s="12">
        <v>6526.7</v>
      </c>
      <c r="K23" s="12">
        <v>148.4</v>
      </c>
      <c r="L23" s="12">
        <v>2337.1999999999998</v>
      </c>
      <c r="M23" s="12">
        <v>4361.3999999999996</v>
      </c>
      <c r="N23" s="12">
        <v>1702</v>
      </c>
      <c r="O23" s="12">
        <v>1157</v>
      </c>
      <c r="P23" s="12">
        <v>8118.6</v>
      </c>
      <c r="Q23" s="12">
        <v>36990.5</v>
      </c>
      <c r="R23" s="12">
        <v>5461.7</v>
      </c>
      <c r="S23" s="12">
        <v>11901.8</v>
      </c>
      <c r="T23" s="12">
        <v>38479.4</v>
      </c>
      <c r="U23" s="12">
        <v>7541.6</v>
      </c>
      <c r="V23" s="12">
        <v>3364.1</v>
      </c>
      <c r="W23" s="12">
        <v>2148.9</v>
      </c>
      <c r="X23" s="12">
        <v>13548.9</v>
      </c>
      <c r="Y23" s="12">
        <v>14167.7</v>
      </c>
      <c r="Z23" s="12">
        <v>4388.7</v>
      </c>
      <c r="AA23" s="12">
        <v>1939.5</v>
      </c>
      <c r="AB23" s="12">
        <v>5907</v>
      </c>
      <c r="AC23" s="12">
        <v>38142.199999999997</v>
      </c>
      <c r="AD23" s="12">
        <v>18338.599999999999</v>
      </c>
      <c r="AE23" s="12">
        <v>7173.2</v>
      </c>
      <c r="AF23" s="12">
        <v>1231.8</v>
      </c>
      <c r="AG23" s="12">
        <v>26638.5</v>
      </c>
      <c r="AH23" s="12">
        <v>50426.5</v>
      </c>
      <c r="AI23" s="12">
        <v>4303.3999999999996</v>
      </c>
      <c r="AJ23" s="12">
        <v>9754.6</v>
      </c>
      <c r="AK23" s="12">
        <v>8860.1</v>
      </c>
      <c r="AL23" s="12">
        <v>0</v>
      </c>
      <c r="AM23" s="12">
        <v>142946.6</v>
      </c>
      <c r="AN23" s="12">
        <v>42.7</v>
      </c>
      <c r="AO23" s="12">
        <v>24</v>
      </c>
      <c r="AP23" s="12">
        <v>49337.7</v>
      </c>
      <c r="AQ23" s="12">
        <v>12156</v>
      </c>
      <c r="AR23" s="12">
        <v>570.79999999999995</v>
      </c>
      <c r="AS23" s="12">
        <v>1191.0999999999999</v>
      </c>
      <c r="AT23" s="12">
        <v>75532.2</v>
      </c>
      <c r="AU23" s="12">
        <v>-240846.5</v>
      </c>
    </row>
    <row r="24" spans="1:47" ht="13.5" x14ac:dyDescent="0.25">
      <c r="A24" s="11" t="s">
        <v>107</v>
      </c>
      <c r="B24" s="10" t="s">
        <v>9</v>
      </c>
      <c r="C24" s="13">
        <v>697.2</v>
      </c>
      <c r="D24" s="13">
        <v>141.80000000000001</v>
      </c>
      <c r="E24" s="13">
        <v>93.2</v>
      </c>
      <c r="F24" s="13">
        <v>73.400000000000006</v>
      </c>
      <c r="G24" s="13">
        <v>941</v>
      </c>
      <c r="H24" s="13">
        <v>161.9</v>
      </c>
      <c r="I24" s="13">
        <v>1003.8</v>
      </c>
      <c r="J24" s="13">
        <v>1027.2</v>
      </c>
      <c r="K24" s="13">
        <v>34.200000000000003</v>
      </c>
      <c r="L24" s="13">
        <v>1408.6</v>
      </c>
      <c r="M24" s="13">
        <v>1508.1</v>
      </c>
      <c r="N24" s="13">
        <v>266.39999999999998</v>
      </c>
      <c r="O24" s="13">
        <v>1916.6</v>
      </c>
      <c r="P24" s="13">
        <v>4371.8999999999996</v>
      </c>
      <c r="Q24" s="13">
        <v>2706.8</v>
      </c>
      <c r="R24" s="13">
        <v>6785.1</v>
      </c>
      <c r="S24" s="13">
        <v>12348.2</v>
      </c>
      <c r="T24" s="13">
        <v>7637.3</v>
      </c>
      <c r="U24" s="13">
        <v>6910.1</v>
      </c>
      <c r="V24" s="13">
        <v>1318.6</v>
      </c>
      <c r="W24" s="13">
        <v>3359.1</v>
      </c>
      <c r="X24" s="13">
        <v>33515.699999999997</v>
      </c>
      <c r="Y24" s="13">
        <v>2030.6</v>
      </c>
      <c r="Z24" s="13">
        <v>3282.1</v>
      </c>
      <c r="AA24" s="13">
        <v>2971.1</v>
      </c>
      <c r="AB24" s="13">
        <v>114.7</v>
      </c>
      <c r="AC24" s="13">
        <v>5962.2</v>
      </c>
      <c r="AD24" s="13">
        <v>2024.7</v>
      </c>
      <c r="AE24" s="13">
        <v>456.7</v>
      </c>
      <c r="AF24" s="13">
        <v>1252.9000000000001</v>
      </c>
      <c r="AG24" s="13">
        <v>7174.3</v>
      </c>
      <c r="AH24" s="13">
        <v>6375.3</v>
      </c>
      <c r="AI24" s="13">
        <v>3558.3</v>
      </c>
      <c r="AJ24" s="13">
        <v>1687.1</v>
      </c>
      <c r="AK24" s="13">
        <v>3036.6</v>
      </c>
      <c r="AL24" s="13">
        <v>0</v>
      </c>
      <c r="AM24" s="13">
        <v>52645.5</v>
      </c>
      <c r="AN24" s="13">
        <v>9.3000000000000007</v>
      </c>
      <c r="AO24" s="13">
        <v>2.9</v>
      </c>
      <c r="AP24" s="13">
        <v>4888</v>
      </c>
      <c r="AQ24" s="13">
        <v>1364.5</v>
      </c>
      <c r="AR24" s="13">
        <v>222.7</v>
      </c>
      <c r="AS24" s="13">
        <v>332.3</v>
      </c>
      <c r="AT24" s="13">
        <v>26067.1</v>
      </c>
      <c r="AU24" s="13">
        <v>-88431.1</v>
      </c>
    </row>
    <row r="25" spans="1:47" ht="21" x14ac:dyDescent="0.25">
      <c r="A25" s="11" t="s">
        <v>108</v>
      </c>
      <c r="B25" s="10" t="s">
        <v>9</v>
      </c>
      <c r="C25" s="12">
        <v>7174</v>
      </c>
      <c r="D25" s="12">
        <v>2315.6999999999998</v>
      </c>
      <c r="E25" s="12">
        <v>1125.2</v>
      </c>
      <c r="F25" s="12">
        <v>2644</v>
      </c>
      <c r="G25" s="12">
        <v>4862.8</v>
      </c>
      <c r="H25" s="12">
        <v>415.9</v>
      </c>
      <c r="I25" s="12">
        <v>1212.5999999999999</v>
      </c>
      <c r="J25" s="12">
        <v>6057</v>
      </c>
      <c r="K25" s="12">
        <v>97.3</v>
      </c>
      <c r="L25" s="12">
        <v>4871.6000000000004</v>
      </c>
      <c r="M25" s="12">
        <v>5012.1000000000004</v>
      </c>
      <c r="N25" s="12">
        <v>831</v>
      </c>
      <c r="O25" s="12">
        <v>5749.1</v>
      </c>
      <c r="P25" s="12">
        <v>10479.799999999999</v>
      </c>
      <c r="Q25" s="12">
        <v>1203.4000000000001</v>
      </c>
      <c r="R25" s="12">
        <v>3872.6</v>
      </c>
      <c r="S25" s="12">
        <v>49749.3</v>
      </c>
      <c r="T25" s="12">
        <v>49257.7</v>
      </c>
      <c r="U25" s="12">
        <v>21480.400000000001</v>
      </c>
      <c r="V25" s="12">
        <v>3117.7</v>
      </c>
      <c r="W25" s="12">
        <v>3925.3</v>
      </c>
      <c r="X25" s="12">
        <v>50404.6</v>
      </c>
      <c r="Y25" s="12">
        <v>6039.9</v>
      </c>
      <c r="Z25" s="12">
        <v>6934.3</v>
      </c>
      <c r="AA25" s="12">
        <v>3513.9</v>
      </c>
      <c r="AB25" s="12">
        <v>539.9</v>
      </c>
      <c r="AC25" s="12">
        <v>2557.1</v>
      </c>
      <c r="AD25" s="12">
        <v>1957.5</v>
      </c>
      <c r="AE25" s="12">
        <v>826.8</v>
      </c>
      <c r="AF25" s="12">
        <v>6622.6</v>
      </c>
      <c r="AG25" s="12">
        <v>12679.7</v>
      </c>
      <c r="AH25" s="12">
        <v>12111.3</v>
      </c>
      <c r="AI25" s="12">
        <v>13216.8</v>
      </c>
      <c r="AJ25" s="12">
        <v>3712.9</v>
      </c>
      <c r="AK25" s="12">
        <v>3699</v>
      </c>
      <c r="AL25" s="12">
        <v>0</v>
      </c>
      <c r="AM25" s="12">
        <v>29113.3</v>
      </c>
      <c r="AN25" s="12">
        <v>30.8</v>
      </c>
      <c r="AO25" s="12">
        <v>9.8000000000000007</v>
      </c>
      <c r="AP25" s="12">
        <v>54856.1</v>
      </c>
      <c r="AQ25" s="12">
        <v>18910.7</v>
      </c>
      <c r="AR25" s="12">
        <v>99.7</v>
      </c>
      <c r="AS25" s="12">
        <v>57.9</v>
      </c>
      <c r="AT25" s="12">
        <v>96005.1</v>
      </c>
      <c r="AU25" s="12">
        <v>-128475.8</v>
      </c>
    </row>
    <row r="26" spans="1:47" ht="21" x14ac:dyDescent="0.25">
      <c r="A26" s="11" t="s">
        <v>109</v>
      </c>
      <c r="B26" s="10" t="s">
        <v>9</v>
      </c>
      <c r="C26" s="13">
        <v>823.4</v>
      </c>
      <c r="D26" s="13">
        <v>95.6</v>
      </c>
      <c r="E26" s="13">
        <v>55.3</v>
      </c>
      <c r="F26" s="13">
        <v>105.2</v>
      </c>
      <c r="G26" s="13">
        <v>628.4</v>
      </c>
      <c r="H26" s="13">
        <v>162.80000000000001</v>
      </c>
      <c r="I26" s="13">
        <v>470.2</v>
      </c>
      <c r="J26" s="13">
        <v>928.2</v>
      </c>
      <c r="K26" s="13">
        <v>35.799999999999997</v>
      </c>
      <c r="L26" s="13">
        <v>598.1</v>
      </c>
      <c r="M26" s="13">
        <v>791.4</v>
      </c>
      <c r="N26" s="13">
        <v>389.8</v>
      </c>
      <c r="O26" s="13">
        <v>722.4</v>
      </c>
      <c r="P26" s="13">
        <v>1981.9</v>
      </c>
      <c r="Q26" s="13">
        <v>645.9</v>
      </c>
      <c r="R26" s="13">
        <v>572.9</v>
      </c>
      <c r="S26" s="13">
        <v>6571.7</v>
      </c>
      <c r="T26" s="13">
        <v>98450.2</v>
      </c>
      <c r="U26" s="13">
        <v>2943.9</v>
      </c>
      <c r="V26" s="13">
        <v>616.1</v>
      </c>
      <c r="W26" s="13">
        <v>622.4</v>
      </c>
      <c r="X26" s="13">
        <v>6974.4</v>
      </c>
      <c r="Y26" s="13">
        <v>13797.5</v>
      </c>
      <c r="Z26" s="13">
        <v>5716.7</v>
      </c>
      <c r="AA26" s="13">
        <v>885.7</v>
      </c>
      <c r="AB26" s="13">
        <v>269.89999999999998</v>
      </c>
      <c r="AC26" s="13">
        <v>707.6</v>
      </c>
      <c r="AD26" s="13">
        <v>399.5</v>
      </c>
      <c r="AE26" s="13">
        <v>327.3</v>
      </c>
      <c r="AF26" s="13">
        <v>457.6</v>
      </c>
      <c r="AG26" s="13">
        <v>3208.4</v>
      </c>
      <c r="AH26" s="13">
        <v>6784.5</v>
      </c>
      <c r="AI26" s="13">
        <v>1708.8</v>
      </c>
      <c r="AJ26" s="13">
        <v>1114.7</v>
      </c>
      <c r="AK26" s="13">
        <v>719.7</v>
      </c>
      <c r="AL26" s="13">
        <v>0</v>
      </c>
      <c r="AM26" s="13">
        <v>239100.1</v>
      </c>
      <c r="AN26" s="13">
        <v>66.8</v>
      </c>
      <c r="AO26" s="13">
        <v>11.1</v>
      </c>
      <c r="AP26" s="13">
        <v>416012.5</v>
      </c>
      <c r="AQ26" s="13">
        <v>50425.5</v>
      </c>
      <c r="AR26" s="13">
        <v>375.2</v>
      </c>
      <c r="AS26" s="13">
        <v>656.6</v>
      </c>
      <c r="AT26" s="13">
        <v>105195.7</v>
      </c>
      <c r="AU26" s="13">
        <v>-306727.09999999998</v>
      </c>
    </row>
    <row r="27" spans="1:47" ht="21" x14ac:dyDescent="0.25">
      <c r="A27" s="11" t="s">
        <v>110</v>
      </c>
      <c r="B27" s="10" t="s">
        <v>9</v>
      </c>
      <c r="C27" s="12">
        <v>238.6</v>
      </c>
      <c r="D27" s="12">
        <v>85</v>
      </c>
      <c r="E27" s="12">
        <v>35.700000000000003</v>
      </c>
      <c r="F27" s="12">
        <v>66.900000000000006</v>
      </c>
      <c r="G27" s="12">
        <v>345.7</v>
      </c>
      <c r="H27" s="12">
        <v>149.1</v>
      </c>
      <c r="I27" s="12">
        <v>88.3</v>
      </c>
      <c r="J27" s="12">
        <v>299.10000000000002</v>
      </c>
      <c r="K27" s="12">
        <v>19.5</v>
      </c>
      <c r="L27" s="12">
        <v>296.60000000000002</v>
      </c>
      <c r="M27" s="12">
        <v>312.7</v>
      </c>
      <c r="N27" s="12">
        <v>68.400000000000006</v>
      </c>
      <c r="O27" s="12">
        <v>258.5</v>
      </c>
      <c r="P27" s="12">
        <v>673.4</v>
      </c>
      <c r="Q27" s="12">
        <v>223.3</v>
      </c>
      <c r="R27" s="12">
        <v>257.8</v>
      </c>
      <c r="S27" s="12">
        <v>1908.9</v>
      </c>
      <c r="T27" s="12">
        <v>3252.1</v>
      </c>
      <c r="U27" s="12">
        <v>27191.599999999999</v>
      </c>
      <c r="V27" s="12">
        <v>236.4</v>
      </c>
      <c r="W27" s="12">
        <v>193.2</v>
      </c>
      <c r="X27" s="12">
        <v>2679.5</v>
      </c>
      <c r="Y27" s="12">
        <v>1482.9</v>
      </c>
      <c r="Z27" s="12">
        <v>3112.3</v>
      </c>
      <c r="AA27" s="12">
        <v>282.39999999999998</v>
      </c>
      <c r="AB27" s="12">
        <v>87.2</v>
      </c>
      <c r="AC27" s="12">
        <v>323.5</v>
      </c>
      <c r="AD27" s="12">
        <v>301.10000000000002</v>
      </c>
      <c r="AE27" s="12">
        <v>194.6</v>
      </c>
      <c r="AF27" s="12">
        <v>373.9</v>
      </c>
      <c r="AG27" s="12">
        <v>1647.6</v>
      </c>
      <c r="AH27" s="12">
        <v>10847.4</v>
      </c>
      <c r="AI27" s="12">
        <v>449.6</v>
      </c>
      <c r="AJ27" s="12">
        <v>359.8</v>
      </c>
      <c r="AK27" s="12">
        <v>313.10000000000002</v>
      </c>
      <c r="AL27" s="12">
        <v>0</v>
      </c>
      <c r="AM27" s="12">
        <v>54630.400000000001</v>
      </c>
      <c r="AN27" s="12">
        <v>19.899999999999999</v>
      </c>
      <c r="AO27" s="12">
        <v>99.3</v>
      </c>
      <c r="AP27" s="12">
        <v>146001</v>
      </c>
      <c r="AQ27" s="12">
        <v>7263.9</v>
      </c>
      <c r="AR27" s="12">
        <v>26.6</v>
      </c>
      <c r="AS27" s="12">
        <v>37.6</v>
      </c>
      <c r="AT27" s="12">
        <v>129693.6</v>
      </c>
      <c r="AU27" s="12">
        <v>-61444.6</v>
      </c>
    </row>
    <row r="28" spans="1:47" ht="42" x14ac:dyDescent="0.25">
      <c r="A28" s="11" t="s">
        <v>111</v>
      </c>
      <c r="B28" s="10" t="s">
        <v>9</v>
      </c>
      <c r="C28" s="13">
        <v>402.5</v>
      </c>
      <c r="D28" s="13">
        <v>71.599999999999994</v>
      </c>
      <c r="E28" s="13">
        <v>36.4</v>
      </c>
      <c r="F28" s="13">
        <v>65.8</v>
      </c>
      <c r="G28" s="13">
        <v>997.3</v>
      </c>
      <c r="H28" s="13">
        <v>485.9</v>
      </c>
      <c r="I28" s="13">
        <v>409.6</v>
      </c>
      <c r="J28" s="13">
        <v>665.7</v>
      </c>
      <c r="K28" s="13">
        <v>80.5</v>
      </c>
      <c r="L28" s="13">
        <v>922.9</v>
      </c>
      <c r="M28" s="13">
        <v>599.9</v>
      </c>
      <c r="N28" s="13">
        <v>251.3</v>
      </c>
      <c r="O28" s="13">
        <v>1183.5</v>
      </c>
      <c r="P28" s="13">
        <v>1920.9</v>
      </c>
      <c r="Q28" s="13">
        <v>617.20000000000005</v>
      </c>
      <c r="R28" s="13">
        <v>538</v>
      </c>
      <c r="S28" s="13">
        <v>1909.5</v>
      </c>
      <c r="T28" s="13">
        <v>3800.3</v>
      </c>
      <c r="U28" s="13">
        <v>1368.1</v>
      </c>
      <c r="V28" s="13">
        <v>5705.1</v>
      </c>
      <c r="W28" s="13">
        <v>432.2</v>
      </c>
      <c r="X28" s="13">
        <v>4945.3</v>
      </c>
      <c r="Y28" s="13">
        <v>3744.1</v>
      </c>
      <c r="Z28" s="13">
        <v>1107.4000000000001</v>
      </c>
      <c r="AA28" s="13">
        <v>1141.5999999999999</v>
      </c>
      <c r="AB28" s="13">
        <v>383.5</v>
      </c>
      <c r="AC28" s="13">
        <v>551.20000000000005</v>
      </c>
      <c r="AD28" s="13">
        <v>414.4</v>
      </c>
      <c r="AE28" s="13">
        <v>1071.8</v>
      </c>
      <c r="AF28" s="13">
        <v>2773.5</v>
      </c>
      <c r="AG28" s="13">
        <v>3974</v>
      </c>
      <c r="AH28" s="13">
        <v>5820.4</v>
      </c>
      <c r="AI28" s="13">
        <v>1944.8</v>
      </c>
      <c r="AJ28" s="13">
        <v>16166</v>
      </c>
      <c r="AK28" s="13">
        <v>2058.9</v>
      </c>
      <c r="AL28" s="13">
        <v>0</v>
      </c>
      <c r="AM28" s="13">
        <v>204902.1</v>
      </c>
      <c r="AN28" s="13">
        <v>28.3</v>
      </c>
      <c r="AO28" s="13">
        <v>15.1</v>
      </c>
      <c r="AP28" s="13">
        <v>41724.300000000003</v>
      </c>
      <c r="AQ28" s="13">
        <v>5332.8</v>
      </c>
      <c r="AR28" s="13">
        <v>1788.7</v>
      </c>
      <c r="AS28" s="13">
        <v>2449</v>
      </c>
      <c r="AT28" s="13">
        <v>21561.4</v>
      </c>
      <c r="AU28" s="13">
        <v>-99643.3</v>
      </c>
    </row>
    <row r="29" spans="1:47" ht="31.5" x14ac:dyDescent="0.25">
      <c r="A29" s="11" t="s">
        <v>112</v>
      </c>
      <c r="B29" s="10" t="s">
        <v>9</v>
      </c>
      <c r="C29" s="12">
        <v>3079.4</v>
      </c>
      <c r="D29" s="12">
        <v>1099.9000000000001</v>
      </c>
      <c r="E29" s="12">
        <v>554.9</v>
      </c>
      <c r="F29" s="12">
        <v>273.8</v>
      </c>
      <c r="G29" s="12">
        <v>5858.8</v>
      </c>
      <c r="H29" s="12">
        <v>1275.2</v>
      </c>
      <c r="I29" s="12">
        <v>1217</v>
      </c>
      <c r="J29" s="12">
        <v>6752.4</v>
      </c>
      <c r="K29" s="12">
        <v>2410.4</v>
      </c>
      <c r="L29" s="12">
        <v>10159.5</v>
      </c>
      <c r="M29" s="12">
        <v>3216.1</v>
      </c>
      <c r="N29" s="12">
        <v>2889.6</v>
      </c>
      <c r="O29" s="12">
        <v>10306</v>
      </c>
      <c r="P29" s="12">
        <v>3637.6</v>
      </c>
      <c r="Q29" s="12">
        <v>1014.9</v>
      </c>
      <c r="R29" s="12">
        <v>609.5</v>
      </c>
      <c r="S29" s="12">
        <v>2042.3</v>
      </c>
      <c r="T29" s="12">
        <v>3850.9</v>
      </c>
      <c r="U29" s="12">
        <v>1498.8</v>
      </c>
      <c r="V29" s="12">
        <v>1227.8</v>
      </c>
      <c r="W29" s="12">
        <v>24785.599999999999</v>
      </c>
      <c r="X29" s="12">
        <v>3355.7</v>
      </c>
      <c r="Y29" s="12">
        <v>20988.2</v>
      </c>
      <c r="Z29" s="12">
        <v>7384</v>
      </c>
      <c r="AA29" s="12">
        <v>9465</v>
      </c>
      <c r="AB29" s="12">
        <v>1455.8</v>
      </c>
      <c r="AC29" s="12">
        <v>2953.7</v>
      </c>
      <c r="AD29" s="12">
        <v>1633.4</v>
      </c>
      <c r="AE29" s="12">
        <v>4654.8</v>
      </c>
      <c r="AF29" s="12">
        <v>36832.699999999997</v>
      </c>
      <c r="AG29" s="12">
        <v>13696.7</v>
      </c>
      <c r="AH29" s="12">
        <v>36029.199999999997</v>
      </c>
      <c r="AI29" s="12">
        <v>7876.7</v>
      </c>
      <c r="AJ29" s="12">
        <v>21506</v>
      </c>
      <c r="AK29" s="12">
        <v>8010.2</v>
      </c>
      <c r="AL29" s="12">
        <v>0</v>
      </c>
      <c r="AM29" s="12">
        <v>211236.2</v>
      </c>
      <c r="AN29" s="12">
        <v>77.400000000000006</v>
      </c>
      <c r="AO29" s="12">
        <v>1177.0999999999999</v>
      </c>
      <c r="AP29" s="12">
        <v>3887.9</v>
      </c>
      <c r="AQ29" s="12">
        <v>132.4</v>
      </c>
      <c r="AR29" s="12">
        <v>101.2</v>
      </c>
      <c r="AS29" s="12">
        <v>19.100000000000001</v>
      </c>
      <c r="AT29" s="12">
        <v>319.2</v>
      </c>
      <c r="AU29" s="12">
        <v>-4933</v>
      </c>
    </row>
    <row r="30" spans="1:47" ht="13.5" x14ac:dyDescent="0.25">
      <c r="A30" s="11" t="s">
        <v>113</v>
      </c>
      <c r="B30" s="10" t="s">
        <v>9</v>
      </c>
      <c r="C30" s="13">
        <v>173.4</v>
      </c>
      <c r="D30" s="13">
        <v>50.7</v>
      </c>
      <c r="E30" s="13">
        <v>44.9</v>
      </c>
      <c r="F30" s="13">
        <v>12.9</v>
      </c>
      <c r="G30" s="13">
        <v>91.2</v>
      </c>
      <c r="H30" s="13">
        <v>16.3</v>
      </c>
      <c r="I30" s="13">
        <v>16.3</v>
      </c>
      <c r="J30" s="13">
        <v>53.4</v>
      </c>
      <c r="K30" s="13">
        <v>193.5</v>
      </c>
      <c r="L30" s="13">
        <v>205.4</v>
      </c>
      <c r="M30" s="13">
        <v>33.700000000000003</v>
      </c>
      <c r="N30" s="13">
        <v>41.3</v>
      </c>
      <c r="O30" s="13">
        <v>89.2</v>
      </c>
      <c r="P30" s="13">
        <v>58.3</v>
      </c>
      <c r="Q30" s="13">
        <v>12.9</v>
      </c>
      <c r="R30" s="13">
        <v>12.4</v>
      </c>
      <c r="S30" s="13">
        <v>48.7</v>
      </c>
      <c r="T30" s="13">
        <v>91</v>
      </c>
      <c r="U30" s="13">
        <v>64</v>
      </c>
      <c r="V30" s="13">
        <v>57.5</v>
      </c>
      <c r="W30" s="13">
        <v>370.6</v>
      </c>
      <c r="X30" s="13">
        <v>136.6</v>
      </c>
      <c r="Y30" s="13">
        <v>268.39999999999998</v>
      </c>
      <c r="Z30" s="13">
        <v>789.4</v>
      </c>
      <c r="AA30" s="13">
        <v>116.7</v>
      </c>
      <c r="AB30" s="13">
        <v>48.5</v>
      </c>
      <c r="AC30" s="13">
        <v>429.4</v>
      </c>
      <c r="AD30" s="13">
        <v>122.3</v>
      </c>
      <c r="AE30" s="13">
        <v>243.8</v>
      </c>
      <c r="AF30" s="13">
        <v>10227.1</v>
      </c>
      <c r="AG30" s="13">
        <v>1518.8</v>
      </c>
      <c r="AH30" s="13">
        <v>3793.8</v>
      </c>
      <c r="AI30" s="13">
        <v>89.1</v>
      </c>
      <c r="AJ30" s="13">
        <v>428.4</v>
      </c>
      <c r="AK30" s="13">
        <v>535</v>
      </c>
      <c r="AL30" s="13">
        <v>0</v>
      </c>
      <c r="AM30" s="13">
        <v>7229.2</v>
      </c>
      <c r="AN30" s="13">
        <v>3</v>
      </c>
      <c r="AO30" s="13">
        <v>0.9</v>
      </c>
      <c r="AP30" s="13">
        <v>1325367.1000000001</v>
      </c>
      <c r="AQ30" s="13">
        <v>8.1999999999999993</v>
      </c>
      <c r="AR30" s="13">
        <v>165</v>
      </c>
      <c r="AS30" s="13">
        <v>0</v>
      </c>
      <c r="AT30" s="13">
        <v>10.9</v>
      </c>
      <c r="AU30" s="13">
        <v>-1563</v>
      </c>
    </row>
    <row r="31" spans="1:47" ht="31.5" x14ac:dyDescent="0.25">
      <c r="A31" s="11" t="s">
        <v>114</v>
      </c>
      <c r="B31" s="10" t="s">
        <v>9</v>
      </c>
      <c r="C31" s="12">
        <v>48766.400000000001</v>
      </c>
      <c r="D31" s="12">
        <v>2206.4</v>
      </c>
      <c r="E31" s="12">
        <v>1298.5</v>
      </c>
      <c r="F31" s="12">
        <v>1532.4</v>
      </c>
      <c r="G31" s="12">
        <v>139302.29999999999</v>
      </c>
      <c r="H31" s="12">
        <v>16252.7</v>
      </c>
      <c r="I31" s="12">
        <v>11630.1</v>
      </c>
      <c r="J31" s="12">
        <v>26910.6</v>
      </c>
      <c r="K31" s="12">
        <v>9983.6</v>
      </c>
      <c r="L31" s="12">
        <v>67914.8</v>
      </c>
      <c r="M31" s="12">
        <v>29327.599999999999</v>
      </c>
      <c r="N31" s="12">
        <v>9414.4</v>
      </c>
      <c r="O31" s="12">
        <v>16259.6</v>
      </c>
      <c r="P31" s="12">
        <v>27217.4</v>
      </c>
      <c r="Q31" s="12">
        <v>17171.599999999999</v>
      </c>
      <c r="R31" s="12">
        <v>12562.2</v>
      </c>
      <c r="S31" s="12">
        <v>40596.5</v>
      </c>
      <c r="T31" s="12">
        <v>82842.100000000006</v>
      </c>
      <c r="U31" s="12">
        <v>29602.2</v>
      </c>
      <c r="V31" s="12">
        <v>27000.6</v>
      </c>
      <c r="W31" s="12">
        <v>12466.2</v>
      </c>
      <c r="X31" s="12">
        <v>95841</v>
      </c>
      <c r="Y31" s="12">
        <v>114660.2</v>
      </c>
      <c r="Z31" s="12">
        <v>48970.5</v>
      </c>
      <c r="AA31" s="12">
        <v>66313.600000000006</v>
      </c>
      <c r="AB31" s="12">
        <v>20573.099999999999</v>
      </c>
      <c r="AC31" s="12">
        <v>25356</v>
      </c>
      <c r="AD31" s="12">
        <v>14076</v>
      </c>
      <c r="AE31" s="12">
        <v>21582.7</v>
      </c>
      <c r="AF31" s="12">
        <v>25453.9</v>
      </c>
      <c r="AG31" s="12">
        <v>84385.7</v>
      </c>
      <c r="AH31" s="12">
        <v>81409</v>
      </c>
      <c r="AI31" s="12">
        <v>17676.5</v>
      </c>
      <c r="AJ31" s="12">
        <v>82967.100000000006</v>
      </c>
      <c r="AK31" s="12">
        <v>29580.6</v>
      </c>
      <c r="AL31" s="12">
        <v>0</v>
      </c>
      <c r="AM31" s="12">
        <v>1290767.5</v>
      </c>
      <c r="AN31" s="12">
        <v>6055.9</v>
      </c>
      <c r="AO31" s="12">
        <v>2545.5</v>
      </c>
      <c r="AP31" s="12">
        <v>222282.5</v>
      </c>
      <c r="AQ31" s="12">
        <v>24697</v>
      </c>
      <c r="AR31" s="12">
        <v>5140</v>
      </c>
      <c r="AS31" s="12">
        <v>10452.200000000001</v>
      </c>
      <c r="AT31" s="12">
        <v>247263.3</v>
      </c>
      <c r="AU31" s="12">
        <v>-197714.9</v>
      </c>
    </row>
    <row r="32" spans="1:47" ht="21" x14ac:dyDescent="0.25">
      <c r="A32" s="11" t="s">
        <v>115</v>
      </c>
      <c r="B32" s="10" t="s">
        <v>9</v>
      </c>
      <c r="C32" s="13">
        <v>11809.7</v>
      </c>
      <c r="D32" s="13">
        <v>1626.3</v>
      </c>
      <c r="E32" s="13">
        <v>650.70000000000005</v>
      </c>
      <c r="F32" s="13">
        <v>745.4</v>
      </c>
      <c r="G32" s="13">
        <v>37654.6</v>
      </c>
      <c r="H32" s="13">
        <v>2454.9</v>
      </c>
      <c r="I32" s="13">
        <v>3358.7</v>
      </c>
      <c r="J32" s="13">
        <v>7802.5</v>
      </c>
      <c r="K32" s="13">
        <v>29827.7</v>
      </c>
      <c r="L32" s="13">
        <v>19755.099999999999</v>
      </c>
      <c r="M32" s="13">
        <v>5161.8999999999996</v>
      </c>
      <c r="N32" s="13">
        <v>6436.8</v>
      </c>
      <c r="O32" s="13">
        <v>13370.9</v>
      </c>
      <c r="P32" s="13">
        <v>7644.2</v>
      </c>
      <c r="Q32" s="13">
        <v>2878</v>
      </c>
      <c r="R32" s="13">
        <v>2265.6999999999998</v>
      </c>
      <c r="S32" s="13">
        <v>7166.1</v>
      </c>
      <c r="T32" s="13">
        <v>15433.7</v>
      </c>
      <c r="U32" s="13">
        <v>5882.4</v>
      </c>
      <c r="V32" s="13">
        <v>5487.8</v>
      </c>
      <c r="W32" s="13">
        <v>9815.2999999999993</v>
      </c>
      <c r="X32" s="13">
        <v>26028.5</v>
      </c>
      <c r="Y32" s="13">
        <v>62089.2</v>
      </c>
      <c r="Z32" s="13">
        <v>106787.6</v>
      </c>
      <c r="AA32" s="13">
        <v>9544.4</v>
      </c>
      <c r="AB32" s="13">
        <v>8190.2</v>
      </c>
      <c r="AC32" s="13">
        <v>8488.2000000000007</v>
      </c>
      <c r="AD32" s="13">
        <v>4385.3999999999996</v>
      </c>
      <c r="AE32" s="13">
        <v>17759</v>
      </c>
      <c r="AF32" s="13">
        <v>9884.6</v>
      </c>
      <c r="AG32" s="13">
        <v>35095</v>
      </c>
      <c r="AH32" s="13">
        <v>52857.8</v>
      </c>
      <c r="AI32" s="13">
        <v>7072.8</v>
      </c>
      <c r="AJ32" s="13">
        <v>18864.900000000001</v>
      </c>
      <c r="AK32" s="13">
        <v>9680.1</v>
      </c>
      <c r="AL32" s="13">
        <v>0</v>
      </c>
      <c r="AM32" s="13">
        <v>474752.4</v>
      </c>
      <c r="AN32" s="13">
        <v>1344.2</v>
      </c>
      <c r="AO32" s="13">
        <v>2523.6</v>
      </c>
      <c r="AP32" s="13">
        <v>39248.699999999997</v>
      </c>
      <c r="AQ32" s="13">
        <v>2720.1</v>
      </c>
      <c r="AR32" s="13">
        <v>14604</v>
      </c>
      <c r="AS32" s="13">
        <v>26025.9</v>
      </c>
      <c r="AT32" s="13">
        <v>114350</v>
      </c>
      <c r="AU32" s="13">
        <v>-127601.9</v>
      </c>
    </row>
    <row r="33" spans="1:47" ht="21" x14ac:dyDescent="0.25">
      <c r="A33" s="11" t="s">
        <v>116</v>
      </c>
      <c r="B33" s="10" t="s">
        <v>9</v>
      </c>
      <c r="C33" s="12">
        <v>299.60000000000002</v>
      </c>
      <c r="D33" s="12">
        <v>35.4</v>
      </c>
      <c r="E33" s="12">
        <v>25.2</v>
      </c>
      <c r="F33" s="12">
        <v>152.5</v>
      </c>
      <c r="G33" s="12">
        <v>1029.0999999999999</v>
      </c>
      <c r="H33" s="12">
        <v>309.89999999999998</v>
      </c>
      <c r="I33" s="12">
        <v>632</v>
      </c>
      <c r="J33" s="12">
        <v>1734.4</v>
      </c>
      <c r="K33" s="12">
        <v>107</v>
      </c>
      <c r="L33" s="12">
        <v>1093</v>
      </c>
      <c r="M33" s="12">
        <v>1172.5</v>
      </c>
      <c r="N33" s="12">
        <v>546.79999999999995</v>
      </c>
      <c r="O33" s="12">
        <v>324.3</v>
      </c>
      <c r="P33" s="12">
        <v>1563.2</v>
      </c>
      <c r="Q33" s="12">
        <v>120</v>
      </c>
      <c r="R33" s="12">
        <v>85</v>
      </c>
      <c r="S33" s="12">
        <v>868.3</v>
      </c>
      <c r="T33" s="12">
        <v>1251.5</v>
      </c>
      <c r="U33" s="12">
        <v>858.8</v>
      </c>
      <c r="V33" s="12">
        <v>374.9</v>
      </c>
      <c r="W33" s="12">
        <v>772.7</v>
      </c>
      <c r="X33" s="12">
        <v>1726.9</v>
      </c>
      <c r="Y33" s="12">
        <v>6514.2</v>
      </c>
      <c r="Z33" s="12">
        <v>4613.3</v>
      </c>
      <c r="AA33" s="12">
        <v>5641.9</v>
      </c>
      <c r="AB33" s="12">
        <v>1750.7</v>
      </c>
      <c r="AC33" s="12">
        <v>695.7</v>
      </c>
      <c r="AD33" s="12">
        <v>2804.5</v>
      </c>
      <c r="AE33" s="12">
        <v>11702</v>
      </c>
      <c r="AF33" s="12">
        <v>16799.5</v>
      </c>
      <c r="AG33" s="12">
        <v>27873.8</v>
      </c>
      <c r="AH33" s="12">
        <v>16750.599999999999</v>
      </c>
      <c r="AI33" s="12">
        <v>5994.8</v>
      </c>
      <c r="AJ33" s="12">
        <v>18306.900000000001</v>
      </c>
      <c r="AK33" s="12">
        <v>5923.2</v>
      </c>
      <c r="AL33" s="12">
        <v>0</v>
      </c>
      <c r="AM33" s="12">
        <v>707411.1</v>
      </c>
      <c r="AN33" s="12">
        <v>8979.7999999999993</v>
      </c>
      <c r="AO33" s="12">
        <v>174.6</v>
      </c>
      <c r="AP33" s="12">
        <v>3412</v>
      </c>
      <c r="AQ33" s="12">
        <v>5</v>
      </c>
      <c r="AR33" s="12">
        <v>51262</v>
      </c>
      <c r="AS33" s="12">
        <v>57492.7</v>
      </c>
      <c r="AT33" s="12">
        <v>359.8</v>
      </c>
      <c r="AU33" s="12">
        <v>-51797.3</v>
      </c>
    </row>
    <row r="34" spans="1:47" ht="31.5" x14ac:dyDescent="0.25">
      <c r="A34" s="11" t="s">
        <v>117</v>
      </c>
      <c r="B34" s="10" t="s">
        <v>9</v>
      </c>
      <c r="C34" s="13">
        <v>118.7</v>
      </c>
      <c r="D34" s="13">
        <v>39.5</v>
      </c>
      <c r="E34" s="13">
        <v>18.100000000000001</v>
      </c>
      <c r="F34" s="13">
        <v>6.8</v>
      </c>
      <c r="G34" s="13">
        <v>2582.3000000000002</v>
      </c>
      <c r="H34" s="13">
        <v>97</v>
      </c>
      <c r="I34" s="13">
        <v>38.799999999999997</v>
      </c>
      <c r="J34" s="13">
        <v>318.7</v>
      </c>
      <c r="K34" s="13">
        <v>52.9</v>
      </c>
      <c r="L34" s="13">
        <v>2285.8000000000002</v>
      </c>
      <c r="M34" s="13">
        <v>107.7</v>
      </c>
      <c r="N34" s="13">
        <v>48</v>
      </c>
      <c r="O34" s="13">
        <v>193.2</v>
      </c>
      <c r="P34" s="13">
        <v>173.4</v>
      </c>
      <c r="Q34" s="13">
        <v>168</v>
      </c>
      <c r="R34" s="13">
        <v>56.4</v>
      </c>
      <c r="S34" s="13">
        <v>162</v>
      </c>
      <c r="T34" s="13">
        <v>313.5</v>
      </c>
      <c r="U34" s="13">
        <v>1393.4</v>
      </c>
      <c r="V34" s="13">
        <v>228.2</v>
      </c>
      <c r="W34" s="13">
        <v>382.4</v>
      </c>
      <c r="X34" s="13">
        <v>432.4</v>
      </c>
      <c r="Y34" s="13">
        <v>18909.8</v>
      </c>
      <c r="Z34" s="13">
        <v>3668</v>
      </c>
      <c r="AA34" s="13">
        <v>3123.9</v>
      </c>
      <c r="AB34" s="13">
        <v>91719.7</v>
      </c>
      <c r="AC34" s="13">
        <v>23118</v>
      </c>
      <c r="AD34" s="13">
        <v>10020.200000000001</v>
      </c>
      <c r="AE34" s="13">
        <v>6532</v>
      </c>
      <c r="AF34" s="13">
        <v>6279.9</v>
      </c>
      <c r="AG34" s="13">
        <v>52494.3</v>
      </c>
      <c r="AH34" s="13">
        <v>18210.900000000001</v>
      </c>
      <c r="AI34" s="13">
        <v>4607</v>
      </c>
      <c r="AJ34" s="13">
        <v>6913</v>
      </c>
      <c r="AK34" s="13">
        <v>25480.799999999999</v>
      </c>
      <c r="AL34" s="13">
        <v>0</v>
      </c>
      <c r="AM34" s="13">
        <v>195100.4</v>
      </c>
      <c r="AN34" s="13">
        <v>11.2</v>
      </c>
      <c r="AO34" s="13">
        <v>1117.8</v>
      </c>
      <c r="AP34" s="13">
        <v>139312.6</v>
      </c>
      <c r="AQ34" s="13">
        <v>271.60000000000002</v>
      </c>
      <c r="AR34" s="13">
        <v>792.9</v>
      </c>
      <c r="AS34" s="13">
        <v>899.6</v>
      </c>
      <c r="AT34" s="13">
        <v>51784.5</v>
      </c>
      <c r="AU34" s="13">
        <v>-11993.5</v>
      </c>
    </row>
    <row r="35" spans="1:47" ht="13.5" x14ac:dyDescent="0.25">
      <c r="A35" s="11" t="s">
        <v>118</v>
      </c>
      <c r="B35" s="10" t="s">
        <v>9</v>
      </c>
      <c r="C35" s="12">
        <v>1123.5999999999999</v>
      </c>
      <c r="D35" s="12">
        <v>108.6</v>
      </c>
      <c r="E35" s="12">
        <v>88.9</v>
      </c>
      <c r="F35" s="12">
        <v>125.1</v>
      </c>
      <c r="G35" s="12">
        <v>1890.7</v>
      </c>
      <c r="H35" s="12">
        <v>436.6</v>
      </c>
      <c r="I35" s="12">
        <v>336</v>
      </c>
      <c r="J35" s="12">
        <v>1018.1</v>
      </c>
      <c r="K35" s="12">
        <v>496.7</v>
      </c>
      <c r="L35" s="12">
        <v>1807.8</v>
      </c>
      <c r="M35" s="12">
        <v>795</v>
      </c>
      <c r="N35" s="12">
        <v>468.7</v>
      </c>
      <c r="O35" s="12">
        <v>393.3</v>
      </c>
      <c r="P35" s="12">
        <v>1369.7</v>
      </c>
      <c r="Q35" s="12">
        <v>994.1</v>
      </c>
      <c r="R35" s="12">
        <v>337.4</v>
      </c>
      <c r="S35" s="12">
        <v>1268.9000000000001</v>
      </c>
      <c r="T35" s="12">
        <v>2047.5</v>
      </c>
      <c r="U35" s="12">
        <v>1245.7</v>
      </c>
      <c r="V35" s="12">
        <v>825.5</v>
      </c>
      <c r="W35" s="12">
        <v>1552.6</v>
      </c>
      <c r="X35" s="12">
        <v>3001.6</v>
      </c>
      <c r="Y35" s="12">
        <v>27793.3</v>
      </c>
      <c r="Z35" s="12">
        <v>11476.1</v>
      </c>
      <c r="AA35" s="12">
        <v>5007.3</v>
      </c>
      <c r="AB35" s="12">
        <v>8168.7</v>
      </c>
      <c r="AC35" s="12">
        <v>122956.9</v>
      </c>
      <c r="AD35" s="12">
        <v>11263.2</v>
      </c>
      <c r="AE35" s="12">
        <v>25556</v>
      </c>
      <c r="AF35" s="12">
        <v>13115.4</v>
      </c>
      <c r="AG35" s="12">
        <v>36049.9</v>
      </c>
      <c r="AH35" s="12">
        <v>44122.1</v>
      </c>
      <c r="AI35" s="12">
        <v>4379.3999999999996</v>
      </c>
      <c r="AJ35" s="12">
        <v>16122.5</v>
      </c>
      <c r="AK35" s="12">
        <v>9280.2999999999993</v>
      </c>
      <c r="AL35" s="12">
        <v>0</v>
      </c>
      <c r="AM35" s="12">
        <v>251201.3</v>
      </c>
      <c r="AN35" s="12">
        <v>155.19999999999999</v>
      </c>
      <c r="AO35" s="12">
        <v>202.1</v>
      </c>
      <c r="AP35" s="12">
        <v>4139</v>
      </c>
      <c r="AQ35" s="12">
        <v>50.6</v>
      </c>
      <c r="AR35" s="12">
        <v>2619.5</v>
      </c>
      <c r="AS35" s="12">
        <v>4700.8999999999996</v>
      </c>
      <c r="AT35" s="12">
        <v>19652.7</v>
      </c>
      <c r="AU35" s="12">
        <v>-3766.8</v>
      </c>
    </row>
    <row r="36" spans="1:47" ht="21" x14ac:dyDescent="0.25">
      <c r="A36" s="11" t="s">
        <v>119</v>
      </c>
      <c r="B36" s="10" t="s">
        <v>9</v>
      </c>
      <c r="C36" s="13">
        <v>691.8</v>
      </c>
      <c r="D36" s="13">
        <v>182.3</v>
      </c>
      <c r="E36" s="13">
        <v>41.8</v>
      </c>
      <c r="F36" s="13">
        <v>44.9</v>
      </c>
      <c r="G36" s="13">
        <v>2915.6</v>
      </c>
      <c r="H36" s="13">
        <v>318.2</v>
      </c>
      <c r="I36" s="13">
        <v>312.2</v>
      </c>
      <c r="J36" s="13">
        <v>1023.6</v>
      </c>
      <c r="K36" s="13">
        <v>385.4</v>
      </c>
      <c r="L36" s="13">
        <v>2402.4</v>
      </c>
      <c r="M36" s="13">
        <v>758.8</v>
      </c>
      <c r="N36" s="13">
        <v>340.8</v>
      </c>
      <c r="O36" s="13">
        <v>547</v>
      </c>
      <c r="P36" s="13">
        <v>1019.2</v>
      </c>
      <c r="Q36" s="13">
        <v>1052.8</v>
      </c>
      <c r="R36" s="13">
        <v>433.1</v>
      </c>
      <c r="S36" s="13">
        <v>1258.0999999999999</v>
      </c>
      <c r="T36" s="13">
        <v>2280.9</v>
      </c>
      <c r="U36" s="13">
        <v>1094</v>
      </c>
      <c r="V36" s="13">
        <v>738</v>
      </c>
      <c r="W36" s="13">
        <v>1065.5999999999999</v>
      </c>
      <c r="X36" s="13">
        <v>2872.9</v>
      </c>
      <c r="Y36" s="13">
        <v>13356.6</v>
      </c>
      <c r="Z36" s="13">
        <v>5577.1</v>
      </c>
      <c r="AA36" s="13">
        <v>2192.1999999999998</v>
      </c>
      <c r="AB36" s="13">
        <v>7082.1</v>
      </c>
      <c r="AC36" s="13">
        <v>7414.2</v>
      </c>
      <c r="AD36" s="13">
        <v>21809.9</v>
      </c>
      <c r="AE36" s="13">
        <v>16345.7</v>
      </c>
      <c r="AF36" s="13">
        <v>6167.6</v>
      </c>
      <c r="AG36" s="13">
        <v>23516.6</v>
      </c>
      <c r="AH36" s="13">
        <v>21715.3</v>
      </c>
      <c r="AI36" s="13">
        <v>2622.5</v>
      </c>
      <c r="AJ36" s="13">
        <v>7367.6</v>
      </c>
      <c r="AK36" s="13">
        <v>4700.3</v>
      </c>
      <c r="AL36" s="13">
        <v>0</v>
      </c>
      <c r="AM36" s="13">
        <v>78414.7</v>
      </c>
      <c r="AN36" s="13">
        <v>65.900000000000006</v>
      </c>
      <c r="AO36" s="13">
        <v>2648.8</v>
      </c>
      <c r="AP36" s="13">
        <v>367960.7</v>
      </c>
      <c r="AQ36" s="13">
        <v>282.5</v>
      </c>
      <c r="AR36" s="13">
        <v>111.2</v>
      </c>
      <c r="AS36" s="13">
        <v>257.60000000000002</v>
      </c>
      <c r="AT36" s="13">
        <v>29688.2</v>
      </c>
      <c r="AU36" s="13">
        <v>-62979.199999999997</v>
      </c>
    </row>
    <row r="37" spans="1:47" ht="21" x14ac:dyDescent="0.25">
      <c r="A37" s="11" t="s">
        <v>120</v>
      </c>
      <c r="B37" s="10" t="s">
        <v>9</v>
      </c>
      <c r="C37" s="12">
        <v>19879.400000000001</v>
      </c>
      <c r="D37" s="12">
        <v>1013.6</v>
      </c>
      <c r="E37" s="12">
        <v>532</v>
      </c>
      <c r="F37" s="12">
        <v>869.9</v>
      </c>
      <c r="G37" s="12">
        <v>11966.6</v>
      </c>
      <c r="H37" s="12">
        <v>2135.6999999999998</v>
      </c>
      <c r="I37" s="12">
        <v>1325.8</v>
      </c>
      <c r="J37" s="12">
        <v>3516</v>
      </c>
      <c r="K37" s="12">
        <v>839.4</v>
      </c>
      <c r="L37" s="12">
        <v>12687.3</v>
      </c>
      <c r="M37" s="12">
        <v>3367.5</v>
      </c>
      <c r="N37" s="12">
        <v>2129.3000000000002</v>
      </c>
      <c r="O37" s="12">
        <v>6817</v>
      </c>
      <c r="P37" s="12">
        <v>5119.8</v>
      </c>
      <c r="Q37" s="12">
        <v>1436.8</v>
      </c>
      <c r="R37" s="12">
        <v>1075.5</v>
      </c>
      <c r="S37" s="12">
        <v>3768.8</v>
      </c>
      <c r="T37" s="12">
        <v>6295.7</v>
      </c>
      <c r="U37" s="12">
        <v>8710.4</v>
      </c>
      <c r="V37" s="12">
        <v>3812.9</v>
      </c>
      <c r="W37" s="12">
        <v>7203.3</v>
      </c>
      <c r="X37" s="12">
        <v>11891.7</v>
      </c>
      <c r="Y37" s="12">
        <v>94452.1</v>
      </c>
      <c r="Z37" s="12">
        <v>39681.1</v>
      </c>
      <c r="AA37" s="12">
        <v>23269.7</v>
      </c>
      <c r="AB37" s="12">
        <v>7083.9</v>
      </c>
      <c r="AC37" s="12">
        <v>11923.1</v>
      </c>
      <c r="AD37" s="12">
        <v>11375.8</v>
      </c>
      <c r="AE37" s="12">
        <v>643060.4</v>
      </c>
      <c r="AF37" s="12">
        <v>128298</v>
      </c>
      <c r="AG37" s="12">
        <v>101336.6</v>
      </c>
      <c r="AH37" s="12">
        <v>38879.800000000003</v>
      </c>
      <c r="AI37" s="12">
        <v>14933</v>
      </c>
      <c r="AJ37" s="12">
        <v>158865</v>
      </c>
      <c r="AK37" s="12">
        <v>19112.400000000001</v>
      </c>
      <c r="AL37" s="12">
        <v>0</v>
      </c>
      <c r="AM37" s="12">
        <v>790851</v>
      </c>
      <c r="AN37" s="12">
        <v>7.7</v>
      </c>
      <c r="AO37" s="12">
        <v>52</v>
      </c>
      <c r="AP37" s="12">
        <v>7648.9</v>
      </c>
      <c r="AQ37" s="12">
        <v>556.1</v>
      </c>
      <c r="AR37" s="12">
        <v>2300.6</v>
      </c>
      <c r="AS37" s="12">
        <v>4152.8999999999996</v>
      </c>
      <c r="AT37" s="12">
        <v>137386.4</v>
      </c>
      <c r="AU37" s="12">
        <v>-56936.7</v>
      </c>
    </row>
    <row r="38" spans="1:47" ht="13.5" x14ac:dyDescent="0.25">
      <c r="A38" s="11" t="s">
        <v>121</v>
      </c>
      <c r="B38" s="10" t="s">
        <v>9</v>
      </c>
      <c r="C38" s="13">
        <v>4793.8</v>
      </c>
      <c r="D38" s="13">
        <v>45.8</v>
      </c>
      <c r="E38" s="13">
        <v>57</v>
      </c>
      <c r="F38" s="13">
        <v>43.1</v>
      </c>
      <c r="G38" s="13">
        <v>5588.6</v>
      </c>
      <c r="H38" s="13">
        <v>860.9</v>
      </c>
      <c r="I38" s="13">
        <v>348.3</v>
      </c>
      <c r="J38" s="13">
        <v>781.2</v>
      </c>
      <c r="K38" s="13">
        <v>73.599999999999994</v>
      </c>
      <c r="L38" s="13">
        <v>3453.7</v>
      </c>
      <c r="M38" s="13">
        <v>585.9</v>
      </c>
      <c r="N38" s="13">
        <v>254.6</v>
      </c>
      <c r="O38" s="13">
        <v>637.70000000000005</v>
      </c>
      <c r="P38" s="13">
        <v>1310.2</v>
      </c>
      <c r="Q38" s="13">
        <v>1884</v>
      </c>
      <c r="R38" s="13">
        <v>207.5</v>
      </c>
      <c r="S38" s="13">
        <v>652.9</v>
      </c>
      <c r="T38" s="13">
        <v>1006.8</v>
      </c>
      <c r="U38" s="13">
        <v>3180.9</v>
      </c>
      <c r="V38" s="13">
        <v>2579.6</v>
      </c>
      <c r="W38" s="13">
        <v>3346.5</v>
      </c>
      <c r="X38" s="13">
        <v>8612.4</v>
      </c>
      <c r="Y38" s="13">
        <v>209348.5</v>
      </c>
      <c r="Z38" s="13">
        <v>27785.7</v>
      </c>
      <c r="AA38" s="13">
        <v>56818.7</v>
      </c>
      <c r="AB38" s="13">
        <v>6175.2</v>
      </c>
      <c r="AC38" s="13">
        <v>17850.2</v>
      </c>
      <c r="AD38" s="13">
        <v>12648.1</v>
      </c>
      <c r="AE38" s="13">
        <v>22451.599999999999</v>
      </c>
      <c r="AF38" s="13">
        <v>343201.9</v>
      </c>
      <c r="AG38" s="13">
        <v>91468.6</v>
      </c>
      <c r="AH38" s="13">
        <v>74392.2</v>
      </c>
      <c r="AI38" s="13">
        <v>129731.9</v>
      </c>
      <c r="AJ38" s="13">
        <v>147461.9</v>
      </c>
      <c r="AK38" s="13">
        <v>31408.1</v>
      </c>
      <c r="AL38" s="13">
        <v>0</v>
      </c>
      <c r="AM38" s="13">
        <v>1473676.9</v>
      </c>
      <c r="AN38" s="13">
        <v>0.6</v>
      </c>
      <c r="AO38" s="13">
        <v>1686.7</v>
      </c>
      <c r="AP38" s="13">
        <v>304998.7</v>
      </c>
      <c r="AQ38" s="13">
        <v>15</v>
      </c>
      <c r="AR38" s="13">
        <v>7005.3</v>
      </c>
      <c r="AS38" s="13">
        <v>9892.2999999999993</v>
      </c>
      <c r="AT38" s="13">
        <v>4065.6</v>
      </c>
      <c r="AU38" s="13">
        <v>-10003</v>
      </c>
    </row>
    <row r="39" spans="1:47" ht="21" x14ac:dyDescent="0.25">
      <c r="A39" s="11" t="s">
        <v>122</v>
      </c>
      <c r="B39" s="10" t="s">
        <v>9</v>
      </c>
      <c r="C39" s="12">
        <v>16366.6</v>
      </c>
      <c r="D39" s="12">
        <v>4966.8</v>
      </c>
      <c r="E39" s="12">
        <v>897.7</v>
      </c>
      <c r="F39" s="12">
        <v>2761.9</v>
      </c>
      <c r="G39" s="12">
        <v>50085</v>
      </c>
      <c r="H39" s="12">
        <v>5128.2</v>
      </c>
      <c r="I39" s="12">
        <v>5593.2</v>
      </c>
      <c r="J39" s="12">
        <v>18116.5</v>
      </c>
      <c r="K39" s="12">
        <v>7959.9</v>
      </c>
      <c r="L39" s="12">
        <v>47163.9</v>
      </c>
      <c r="M39" s="12">
        <v>13918.7</v>
      </c>
      <c r="N39" s="12">
        <v>8099.6</v>
      </c>
      <c r="O39" s="12">
        <v>8198</v>
      </c>
      <c r="P39" s="12">
        <v>21447.9</v>
      </c>
      <c r="Q39" s="12">
        <v>16971</v>
      </c>
      <c r="R39" s="12">
        <v>6514.8</v>
      </c>
      <c r="S39" s="12">
        <v>18170.8</v>
      </c>
      <c r="T39" s="12">
        <v>41913.800000000003</v>
      </c>
      <c r="U39" s="12">
        <v>24050.400000000001</v>
      </c>
      <c r="V39" s="12">
        <v>12211.4</v>
      </c>
      <c r="W39" s="12">
        <v>22564</v>
      </c>
      <c r="X39" s="12">
        <v>80988.100000000006</v>
      </c>
      <c r="Y39" s="12">
        <v>335004</v>
      </c>
      <c r="Z39" s="12">
        <v>101314.5</v>
      </c>
      <c r="AA39" s="12">
        <v>77497.600000000006</v>
      </c>
      <c r="AB39" s="12">
        <v>43560</v>
      </c>
      <c r="AC39" s="12">
        <v>57257.8</v>
      </c>
      <c r="AD39" s="12">
        <v>62270.6</v>
      </c>
      <c r="AE39" s="12">
        <v>149895.79999999999</v>
      </c>
      <c r="AF39" s="12">
        <v>175729.4</v>
      </c>
      <c r="AG39" s="12">
        <v>568238.4</v>
      </c>
      <c r="AH39" s="12">
        <v>243314.4</v>
      </c>
      <c r="AI39" s="12">
        <v>45743.6</v>
      </c>
      <c r="AJ39" s="12">
        <v>145602.9</v>
      </c>
      <c r="AK39" s="12">
        <v>77972.600000000006</v>
      </c>
      <c r="AL39" s="12">
        <v>0</v>
      </c>
      <c r="AM39" s="12">
        <v>326683</v>
      </c>
      <c r="AN39" s="12">
        <v>44153.7</v>
      </c>
      <c r="AO39" s="12">
        <v>3196.3</v>
      </c>
      <c r="AP39" s="12">
        <v>325618.59999999998</v>
      </c>
      <c r="AQ39" s="12">
        <v>1241.5</v>
      </c>
      <c r="AR39" s="12">
        <v>3382.7</v>
      </c>
      <c r="AS39" s="12">
        <v>5838.4</v>
      </c>
      <c r="AT39" s="12">
        <v>250423.6</v>
      </c>
      <c r="AU39" s="12">
        <v>-132575.6</v>
      </c>
    </row>
    <row r="40" spans="1:47" ht="31.5" x14ac:dyDescent="0.25">
      <c r="A40" s="11" t="s">
        <v>123</v>
      </c>
      <c r="B40" s="10" t="s">
        <v>9</v>
      </c>
      <c r="C40" s="13">
        <v>208.9</v>
      </c>
      <c r="D40" s="13">
        <v>352</v>
      </c>
      <c r="E40" s="13">
        <v>240.2</v>
      </c>
      <c r="F40" s="13">
        <v>1.6</v>
      </c>
      <c r="G40" s="13">
        <v>3521.6</v>
      </c>
      <c r="H40" s="13">
        <v>1140.5</v>
      </c>
      <c r="I40" s="13">
        <v>445.7</v>
      </c>
      <c r="J40" s="13">
        <v>1604</v>
      </c>
      <c r="K40" s="13">
        <v>1107.5</v>
      </c>
      <c r="L40" s="13">
        <v>5745.5</v>
      </c>
      <c r="M40" s="13">
        <v>1001.8</v>
      </c>
      <c r="N40" s="13">
        <v>709.7</v>
      </c>
      <c r="O40" s="13">
        <v>341.1</v>
      </c>
      <c r="P40" s="13">
        <v>1482.8</v>
      </c>
      <c r="Q40" s="13">
        <v>203.2</v>
      </c>
      <c r="R40" s="13">
        <v>219.1</v>
      </c>
      <c r="S40" s="13">
        <v>576.20000000000005</v>
      </c>
      <c r="T40" s="13">
        <v>1729.2</v>
      </c>
      <c r="U40" s="13">
        <v>2674.7</v>
      </c>
      <c r="V40" s="13">
        <v>1658.4</v>
      </c>
      <c r="W40" s="13">
        <v>6514.6</v>
      </c>
      <c r="X40" s="13">
        <v>40.700000000000003</v>
      </c>
      <c r="Y40" s="13">
        <v>11359.5</v>
      </c>
      <c r="Z40" s="13">
        <v>21674.1</v>
      </c>
      <c r="AA40" s="13">
        <v>8291.7000000000007</v>
      </c>
      <c r="AB40" s="13">
        <v>3054.2</v>
      </c>
      <c r="AC40" s="13">
        <v>8783.4</v>
      </c>
      <c r="AD40" s="13">
        <v>5328</v>
      </c>
      <c r="AE40" s="13">
        <v>6628.8</v>
      </c>
      <c r="AF40" s="13">
        <v>6475.2</v>
      </c>
      <c r="AG40" s="13">
        <v>59399.5</v>
      </c>
      <c r="AH40" s="13">
        <v>40977.599999999999</v>
      </c>
      <c r="AI40" s="13">
        <v>2046.2</v>
      </c>
      <c r="AJ40" s="13">
        <v>19801.599999999999</v>
      </c>
      <c r="AK40" s="13">
        <v>16486.7</v>
      </c>
      <c r="AL40" s="13">
        <v>0</v>
      </c>
      <c r="AM40" s="13">
        <v>78387.3</v>
      </c>
      <c r="AN40" s="13">
        <v>29.3</v>
      </c>
      <c r="AO40" s="13">
        <v>2189917.7000000002</v>
      </c>
      <c r="AP40" s="13">
        <v>689.1</v>
      </c>
      <c r="AQ40" s="13">
        <v>4.7</v>
      </c>
      <c r="AR40" s="13">
        <v>354.4</v>
      </c>
      <c r="AS40" s="13">
        <v>0</v>
      </c>
      <c r="AT40" s="13">
        <v>0</v>
      </c>
      <c r="AU40" s="13">
        <v>-2410.8000000000002</v>
      </c>
    </row>
    <row r="41" spans="1:47" ht="13.5" x14ac:dyDescent="0.25">
      <c r="A41" s="11" t="s">
        <v>124</v>
      </c>
      <c r="B41" s="10" t="s">
        <v>9</v>
      </c>
      <c r="C41" s="12">
        <v>2767.4</v>
      </c>
      <c r="D41" s="12">
        <v>627.29999999999995</v>
      </c>
      <c r="E41" s="12">
        <v>233</v>
      </c>
      <c r="F41" s="12">
        <v>27.9</v>
      </c>
      <c r="G41" s="12">
        <v>2932.1</v>
      </c>
      <c r="H41" s="12">
        <v>259.2</v>
      </c>
      <c r="I41" s="12">
        <v>193.6</v>
      </c>
      <c r="J41" s="12">
        <v>1247.4000000000001</v>
      </c>
      <c r="K41" s="12">
        <v>61.7</v>
      </c>
      <c r="L41" s="12">
        <v>4259.7</v>
      </c>
      <c r="M41" s="12">
        <v>425.3</v>
      </c>
      <c r="N41" s="12">
        <v>186.7</v>
      </c>
      <c r="O41" s="12">
        <v>618.5</v>
      </c>
      <c r="P41" s="12">
        <v>548.9</v>
      </c>
      <c r="Q41" s="12">
        <v>102.9</v>
      </c>
      <c r="R41" s="12">
        <v>43.7</v>
      </c>
      <c r="S41" s="12">
        <v>321.8</v>
      </c>
      <c r="T41" s="12">
        <v>504.3</v>
      </c>
      <c r="U41" s="12">
        <v>1243.5999999999999</v>
      </c>
      <c r="V41" s="12">
        <v>186.3</v>
      </c>
      <c r="W41" s="12">
        <v>1520.6</v>
      </c>
      <c r="X41" s="12">
        <v>967.1</v>
      </c>
      <c r="Y41" s="12">
        <v>69087.5</v>
      </c>
      <c r="Z41" s="12">
        <v>8175.7</v>
      </c>
      <c r="AA41" s="12">
        <v>1591.7</v>
      </c>
      <c r="AB41" s="12">
        <v>871.5</v>
      </c>
      <c r="AC41" s="12">
        <v>7307</v>
      </c>
      <c r="AD41" s="12">
        <v>12536.5</v>
      </c>
      <c r="AE41" s="12">
        <v>10810</v>
      </c>
      <c r="AF41" s="12">
        <v>4637.3</v>
      </c>
      <c r="AG41" s="12">
        <v>51377.3</v>
      </c>
      <c r="AH41" s="12">
        <v>10309.700000000001</v>
      </c>
      <c r="AI41" s="12">
        <v>48672</v>
      </c>
      <c r="AJ41" s="12">
        <v>5617.1</v>
      </c>
      <c r="AK41" s="12">
        <v>17639</v>
      </c>
      <c r="AL41" s="12">
        <v>0</v>
      </c>
      <c r="AM41" s="12">
        <v>578021.19999999995</v>
      </c>
      <c r="AN41" s="12">
        <v>150.30000000000001</v>
      </c>
      <c r="AO41" s="12">
        <v>403870.6</v>
      </c>
      <c r="AP41" s="12">
        <v>31768.799999999999</v>
      </c>
      <c r="AQ41" s="12">
        <v>5.8</v>
      </c>
      <c r="AR41" s="12">
        <v>6835.8</v>
      </c>
      <c r="AS41" s="12">
        <v>25064.1</v>
      </c>
      <c r="AT41" s="12">
        <v>1550.8</v>
      </c>
      <c r="AU41" s="12">
        <v>-11121.3</v>
      </c>
    </row>
    <row r="42" spans="1:47" ht="21" x14ac:dyDescent="0.25">
      <c r="A42" s="11" t="s">
        <v>125</v>
      </c>
      <c r="B42" s="10" t="s">
        <v>9</v>
      </c>
      <c r="C42" s="13">
        <v>4.7</v>
      </c>
      <c r="D42" s="13">
        <v>5</v>
      </c>
      <c r="E42" s="13">
        <v>4.4000000000000004</v>
      </c>
      <c r="F42" s="13">
        <v>0.4</v>
      </c>
      <c r="G42" s="13">
        <v>186.5</v>
      </c>
      <c r="H42" s="13">
        <v>12.9</v>
      </c>
      <c r="I42" s="13">
        <v>1.7</v>
      </c>
      <c r="J42" s="13">
        <v>3.9</v>
      </c>
      <c r="K42" s="13">
        <v>7.3</v>
      </c>
      <c r="L42" s="13">
        <v>78</v>
      </c>
      <c r="M42" s="13">
        <v>3.9</v>
      </c>
      <c r="N42" s="13">
        <v>1.6</v>
      </c>
      <c r="O42" s="13">
        <v>228.3</v>
      </c>
      <c r="P42" s="13">
        <v>5</v>
      </c>
      <c r="Q42" s="13">
        <v>5</v>
      </c>
      <c r="R42" s="13">
        <v>2.2000000000000002</v>
      </c>
      <c r="S42" s="13">
        <v>7.5</v>
      </c>
      <c r="T42" s="13">
        <v>16.3</v>
      </c>
      <c r="U42" s="13">
        <v>7.1</v>
      </c>
      <c r="V42" s="13">
        <v>4.0999999999999996</v>
      </c>
      <c r="W42" s="13">
        <v>3.8</v>
      </c>
      <c r="X42" s="13">
        <v>16</v>
      </c>
      <c r="Y42" s="13">
        <v>207.5</v>
      </c>
      <c r="Z42" s="13">
        <v>21</v>
      </c>
      <c r="AA42" s="13">
        <v>11.6</v>
      </c>
      <c r="AB42" s="13">
        <v>3.4</v>
      </c>
      <c r="AC42" s="13">
        <v>27.1</v>
      </c>
      <c r="AD42" s="13">
        <v>10.5</v>
      </c>
      <c r="AE42" s="13">
        <v>61.5</v>
      </c>
      <c r="AF42" s="13">
        <v>43.9</v>
      </c>
      <c r="AG42" s="13">
        <v>580.79999999999995</v>
      </c>
      <c r="AH42" s="13">
        <v>40.1</v>
      </c>
      <c r="AI42" s="13">
        <v>16.2</v>
      </c>
      <c r="AJ42" s="13">
        <v>53504.9</v>
      </c>
      <c r="AK42" s="13">
        <v>1464.1</v>
      </c>
      <c r="AL42" s="13">
        <v>0</v>
      </c>
      <c r="AM42" s="13">
        <v>2127707.2999999998</v>
      </c>
      <c r="AN42" s="13">
        <v>15.3</v>
      </c>
      <c r="AO42" s="13">
        <v>2.9</v>
      </c>
      <c r="AP42" s="13">
        <v>804.5</v>
      </c>
      <c r="AQ42" s="13">
        <v>4.8</v>
      </c>
      <c r="AR42" s="13">
        <v>2090.6999999999998</v>
      </c>
      <c r="AS42" s="13">
        <v>3078</v>
      </c>
      <c r="AT42" s="13">
        <v>3.9</v>
      </c>
      <c r="AU42" s="13">
        <v>-2867.1</v>
      </c>
    </row>
    <row r="43" spans="1:47" ht="31.5" x14ac:dyDescent="0.25">
      <c r="A43" s="11" t="s">
        <v>126</v>
      </c>
      <c r="B43" s="10" t="s">
        <v>9</v>
      </c>
      <c r="C43" s="12">
        <v>333.1</v>
      </c>
      <c r="D43" s="12">
        <v>139.5</v>
      </c>
      <c r="E43" s="12">
        <v>67.5</v>
      </c>
      <c r="F43" s="12">
        <v>59.6</v>
      </c>
      <c r="G43" s="12">
        <v>779.6</v>
      </c>
      <c r="H43" s="12">
        <v>129.9</v>
      </c>
      <c r="I43" s="12">
        <v>138.5</v>
      </c>
      <c r="J43" s="12">
        <v>352.9</v>
      </c>
      <c r="K43" s="12">
        <v>142.5</v>
      </c>
      <c r="L43" s="12">
        <v>488.6</v>
      </c>
      <c r="M43" s="12">
        <v>213.2</v>
      </c>
      <c r="N43" s="12">
        <v>137.9</v>
      </c>
      <c r="O43" s="12">
        <v>483.3</v>
      </c>
      <c r="P43" s="12">
        <v>310.89999999999998</v>
      </c>
      <c r="Q43" s="12">
        <v>241.1</v>
      </c>
      <c r="R43" s="12">
        <v>92.5</v>
      </c>
      <c r="S43" s="12">
        <v>244.8</v>
      </c>
      <c r="T43" s="12">
        <v>720.2</v>
      </c>
      <c r="U43" s="12">
        <v>417.1</v>
      </c>
      <c r="V43" s="12">
        <v>244.5</v>
      </c>
      <c r="W43" s="12">
        <v>444.1</v>
      </c>
      <c r="X43" s="12">
        <v>1275.5</v>
      </c>
      <c r="Y43" s="12">
        <v>5684.9</v>
      </c>
      <c r="Z43" s="12">
        <v>2569.1999999999998</v>
      </c>
      <c r="AA43" s="12">
        <v>3583.7</v>
      </c>
      <c r="AB43" s="12">
        <v>2075.6</v>
      </c>
      <c r="AC43" s="12">
        <v>1382.3</v>
      </c>
      <c r="AD43" s="12">
        <v>1606.2</v>
      </c>
      <c r="AE43" s="12">
        <v>2416.1</v>
      </c>
      <c r="AF43" s="12">
        <v>2363.8000000000002</v>
      </c>
      <c r="AG43" s="12">
        <v>7591.2</v>
      </c>
      <c r="AH43" s="12">
        <v>7673.3</v>
      </c>
      <c r="AI43" s="12">
        <v>1920.5</v>
      </c>
      <c r="AJ43" s="12">
        <v>10506.9</v>
      </c>
      <c r="AK43" s="12">
        <v>12853.4</v>
      </c>
      <c r="AL43" s="12">
        <v>0</v>
      </c>
      <c r="AM43" s="12">
        <v>448022.6</v>
      </c>
      <c r="AN43" s="12">
        <v>254724.3</v>
      </c>
      <c r="AO43" s="12">
        <v>2892.5</v>
      </c>
      <c r="AP43" s="12">
        <v>11913.9</v>
      </c>
      <c r="AQ43" s="12">
        <v>13.6</v>
      </c>
      <c r="AR43" s="12">
        <v>7174</v>
      </c>
      <c r="AS43" s="12">
        <v>12348.7</v>
      </c>
      <c r="AT43" s="12">
        <v>2915.5</v>
      </c>
      <c r="AU43" s="12">
        <v>-8872.6</v>
      </c>
    </row>
    <row r="44" spans="1:47" ht="21" x14ac:dyDescent="0.25">
      <c r="A44" s="11" t="s">
        <v>127</v>
      </c>
      <c r="B44" s="10" t="s">
        <v>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21351.7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</row>
    <row r="45" spans="1:47" ht="42" x14ac:dyDescent="0.25">
      <c r="A45" s="11" t="s">
        <v>128</v>
      </c>
      <c r="B45" s="10" t="s">
        <v>9</v>
      </c>
      <c r="C45" s="12">
        <v>465.9</v>
      </c>
      <c r="D45" s="12">
        <v>51.6</v>
      </c>
      <c r="E45" s="12">
        <v>34.700000000000003</v>
      </c>
      <c r="F45" s="12">
        <v>31.2</v>
      </c>
      <c r="G45" s="12">
        <v>324.89999999999998</v>
      </c>
      <c r="H45" s="12">
        <v>188.9</v>
      </c>
      <c r="I45" s="12">
        <v>86.3</v>
      </c>
      <c r="J45" s="12">
        <v>286.39999999999998</v>
      </c>
      <c r="K45" s="12">
        <v>835.2</v>
      </c>
      <c r="L45" s="12">
        <v>1405.1</v>
      </c>
      <c r="M45" s="12">
        <v>275.10000000000002</v>
      </c>
      <c r="N45" s="12">
        <v>89.7</v>
      </c>
      <c r="O45" s="12">
        <v>348.7</v>
      </c>
      <c r="P45" s="12">
        <v>297</v>
      </c>
      <c r="Q45" s="12">
        <v>268.39999999999998</v>
      </c>
      <c r="R45" s="12">
        <v>155.80000000000001</v>
      </c>
      <c r="S45" s="12">
        <v>480</v>
      </c>
      <c r="T45" s="12">
        <v>1627.8</v>
      </c>
      <c r="U45" s="12">
        <v>426</v>
      </c>
      <c r="V45" s="12">
        <v>291.7</v>
      </c>
      <c r="W45" s="12">
        <v>463.7</v>
      </c>
      <c r="X45" s="12">
        <v>1618.9</v>
      </c>
      <c r="Y45" s="12">
        <v>758.6</v>
      </c>
      <c r="Z45" s="12">
        <v>3462.2</v>
      </c>
      <c r="AA45" s="12">
        <v>446.9</v>
      </c>
      <c r="AB45" s="12">
        <v>88.5</v>
      </c>
      <c r="AC45" s="12">
        <v>343.3</v>
      </c>
      <c r="AD45" s="12">
        <v>214</v>
      </c>
      <c r="AE45" s="12">
        <v>296.2</v>
      </c>
      <c r="AF45" s="12">
        <v>223.7</v>
      </c>
      <c r="AG45" s="12">
        <v>946.8</v>
      </c>
      <c r="AH45" s="12">
        <v>2866.9</v>
      </c>
      <c r="AI45" s="12">
        <v>217.4</v>
      </c>
      <c r="AJ45" s="12">
        <v>1155.0999999999999</v>
      </c>
      <c r="AK45" s="12">
        <v>406.7</v>
      </c>
      <c r="AL45" s="12">
        <v>0</v>
      </c>
      <c r="AM45" s="12">
        <v>20821.099999999999</v>
      </c>
      <c r="AN45" s="12">
        <v>29.7</v>
      </c>
      <c r="AO45" s="12">
        <v>40.4</v>
      </c>
      <c r="AP45" s="12">
        <v>4853.1000000000004</v>
      </c>
      <c r="AQ45" s="12">
        <v>641.9</v>
      </c>
      <c r="AR45" s="12">
        <v>5015.2</v>
      </c>
      <c r="AS45" s="12">
        <v>0</v>
      </c>
      <c r="AT45" s="12">
        <v>0</v>
      </c>
      <c r="AU45" s="12">
        <v>-52880.800000000003</v>
      </c>
    </row>
    <row r="46" spans="1:47" ht="52.5" x14ac:dyDescent="0.25">
      <c r="A46" s="11" t="s">
        <v>129</v>
      </c>
      <c r="B46" s="10" t="s">
        <v>9</v>
      </c>
      <c r="C46" s="13">
        <v>1037.5</v>
      </c>
      <c r="D46" s="13">
        <v>1119.7</v>
      </c>
      <c r="E46" s="13">
        <v>304.8</v>
      </c>
      <c r="F46" s="13">
        <v>471.4</v>
      </c>
      <c r="G46" s="13">
        <v>7713.8</v>
      </c>
      <c r="H46" s="13">
        <v>792.3</v>
      </c>
      <c r="I46" s="13">
        <v>348.7</v>
      </c>
      <c r="J46" s="13">
        <v>830.7</v>
      </c>
      <c r="K46" s="13">
        <v>9631.6</v>
      </c>
      <c r="L46" s="13">
        <v>3007.4</v>
      </c>
      <c r="M46" s="13">
        <v>798.5</v>
      </c>
      <c r="N46" s="13">
        <v>348.5</v>
      </c>
      <c r="O46" s="13">
        <v>1503.4</v>
      </c>
      <c r="P46" s="13">
        <v>1887</v>
      </c>
      <c r="Q46" s="13">
        <v>475.9</v>
      </c>
      <c r="R46" s="13">
        <v>520.79999999999995</v>
      </c>
      <c r="S46" s="13">
        <v>1461.5</v>
      </c>
      <c r="T46" s="13">
        <v>3363.6</v>
      </c>
      <c r="U46" s="13">
        <v>1272</v>
      </c>
      <c r="V46" s="13">
        <v>1309.2</v>
      </c>
      <c r="W46" s="13">
        <v>2491.6999999999998</v>
      </c>
      <c r="X46" s="13">
        <v>4408.7</v>
      </c>
      <c r="Y46" s="13">
        <v>11203.8</v>
      </c>
      <c r="Z46" s="13">
        <v>3958</v>
      </c>
      <c r="AA46" s="13">
        <v>5922</v>
      </c>
      <c r="AB46" s="13">
        <v>499</v>
      </c>
      <c r="AC46" s="13">
        <v>874.3</v>
      </c>
      <c r="AD46" s="13">
        <v>558.29999999999995</v>
      </c>
      <c r="AE46" s="13">
        <v>2261.6</v>
      </c>
      <c r="AF46" s="13">
        <v>2023.5</v>
      </c>
      <c r="AG46" s="13">
        <v>3970.1</v>
      </c>
      <c r="AH46" s="13">
        <v>6665</v>
      </c>
      <c r="AI46" s="13">
        <v>998</v>
      </c>
      <c r="AJ46" s="13">
        <v>4994.3</v>
      </c>
      <c r="AK46" s="13">
        <v>1616.3</v>
      </c>
      <c r="AL46" s="13">
        <v>0</v>
      </c>
      <c r="AM46" s="13">
        <v>436641.4</v>
      </c>
      <c r="AN46" s="13">
        <v>606.79999999999995</v>
      </c>
      <c r="AO46" s="13">
        <v>-6643.9</v>
      </c>
      <c r="AP46" s="13">
        <v>25935.7</v>
      </c>
      <c r="AQ46" s="13">
        <v>1745.3</v>
      </c>
      <c r="AR46" s="13">
        <v>0</v>
      </c>
      <c r="AS46" s="13">
        <v>912.6</v>
      </c>
      <c r="AT46" s="13">
        <v>10785.7</v>
      </c>
      <c r="AU46" s="13">
        <v>0</v>
      </c>
    </row>
    <row r="47" spans="1:47" ht="31.5" x14ac:dyDescent="0.25">
      <c r="A47" s="11" t="s">
        <v>130</v>
      </c>
      <c r="B47" s="10" t="s">
        <v>9</v>
      </c>
      <c r="C47" s="12">
        <v>261877.3</v>
      </c>
      <c r="D47" s="12">
        <v>69213.3</v>
      </c>
      <c r="E47" s="12">
        <v>23709.599999999999</v>
      </c>
      <c r="F47" s="12">
        <v>35883.9</v>
      </c>
      <c r="G47" s="12">
        <v>687361</v>
      </c>
      <c r="H47" s="12">
        <v>59386.1</v>
      </c>
      <c r="I47" s="12">
        <v>69509.100000000006</v>
      </c>
      <c r="J47" s="12">
        <v>172565.2</v>
      </c>
      <c r="K47" s="12">
        <v>331647.3</v>
      </c>
      <c r="L47" s="12">
        <v>409342.6</v>
      </c>
      <c r="M47" s="12">
        <v>151128</v>
      </c>
      <c r="N47" s="12">
        <v>68086.100000000006</v>
      </c>
      <c r="O47" s="12">
        <v>169600.7</v>
      </c>
      <c r="P47" s="12">
        <v>220800.1</v>
      </c>
      <c r="Q47" s="12">
        <v>102362.8</v>
      </c>
      <c r="R47" s="12">
        <v>68935.7</v>
      </c>
      <c r="S47" s="12">
        <v>233668.7</v>
      </c>
      <c r="T47" s="12">
        <v>505880.7</v>
      </c>
      <c r="U47" s="12">
        <v>200834.2</v>
      </c>
      <c r="V47" s="12">
        <v>133580.9</v>
      </c>
      <c r="W47" s="12">
        <v>169879</v>
      </c>
      <c r="X47" s="12">
        <v>611792.9</v>
      </c>
      <c r="Y47" s="12">
        <v>1125769.5</v>
      </c>
      <c r="Z47" s="12">
        <v>543834</v>
      </c>
      <c r="AA47" s="12">
        <v>432893.9</v>
      </c>
      <c r="AB47" s="12">
        <v>222487.3</v>
      </c>
      <c r="AC47" s="12">
        <v>354748.7</v>
      </c>
      <c r="AD47" s="12">
        <v>203931.9</v>
      </c>
      <c r="AE47" s="12">
        <v>964133.6</v>
      </c>
      <c r="AF47" s="12">
        <v>825997.1</v>
      </c>
      <c r="AG47" s="12">
        <v>1308675.6000000001</v>
      </c>
      <c r="AH47" s="12">
        <v>958092.6</v>
      </c>
      <c r="AI47" s="12">
        <v>336562.7</v>
      </c>
      <c r="AJ47" s="12">
        <v>903243.1</v>
      </c>
      <c r="AK47" s="12">
        <v>333183.8</v>
      </c>
      <c r="AL47" s="12">
        <v>0</v>
      </c>
      <c r="AM47" s="12">
        <v>11869737.4</v>
      </c>
      <c r="AN47" s="12">
        <v>329519.59999999998</v>
      </c>
      <c r="AO47" s="12">
        <v>2610847.7000000002</v>
      </c>
      <c r="AP47" s="12">
        <v>3591042.1</v>
      </c>
      <c r="AQ47" s="12">
        <v>135048.20000000001</v>
      </c>
      <c r="AR47" s="12">
        <v>122895.3</v>
      </c>
      <c r="AS47" s="12">
        <v>182644.2</v>
      </c>
      <c r="AT47" s="12">
        <v>1852937</v>
      </c>
      <c r="AU47" s="12">
        <v>-2583795.2000000002</v>
      </c>
    </row>
    <row r="48" spans="1:47" ht="21" x14ac:dyDescent="0.25">
      <c r="A48" s="11" t="s">
        <v>131</v>
      </c>
      <c r="B48" s="10" t="s">
        <v>9</v>
      </c>
      <c r="C48" s="13">
        <v>193880.1</v>
      </c>
      <c r="D48" s="13">
        <v>224457.8</v>
      </c>
      <c r="E48" s="13">
        <v>41179.699999999997</v>
      </c>
      <c r="F48" s="13">
        <v>51902.2</v>
      </c>
      <c r="G48" s="13">
        <v>248447.3</v>
      </c>
      <c r="H48" s="13">
        <v>27632.7</v>
      </c>
      <c r="I48" s="13">
        <v>29104</v>
      </c>
      <c r="J48" s="13">
        <v>96638.1</v>
      </c>
      <c r="K48" s="13">
        <v>158470.79999999999</v>
      </c>
      <c r="L48" s="13">
        <v>375984.4</v>
      </c>
      <c r="M48" s="13">
        <v>79855</v>
      </c>
      <c r="N48" s="13">
        <v>51405.3</v>
      </c>
      <c r="O48" s="13">
        <v>55642.9</v>
      </c>
      <c r="P48" s="13">
        <v>146781</v>
      </c>
      <c r="Q48" s="13">
        <v>278512</v>
      </c>
      <c r="R48" s="13">
        <v>56318.400000000001</v>
      </c>
      <c r="S48" s="13">
        <v>147210</v>
      </c>
      <c r="T48" s="13">
        <v>160519.29999999999</v>
      </c>
      <c r="U48" s="13">
        <v>134148.79999999999</v>
      </c>
      <c r="V48" s="13">
        <v>113138.6</v>
      </c>
      <c r="W48" s="13">
        <v>305741.09999999998</v>
      </c>
      <c r="X48" s="13">
        <v>739913.7</v>
      </c>
      <c r="Y48" s="13">
        <v>1844823.9</v>
      </c>
      <c r="Z48" s="13">
        <v>578089.19999999995</v>
      </c>
      <c r="AA48" s="13">
        <v>484860</v>
      </c>
      <c r="AB48" s="13">
        <v>435104.7</v>
      </c>
      <c r="AC48" s="13">
        <v>281228.7</v>
      </c>
      <c r="AD48" s="13">
        <v>374165.9</v>
      </c>
      <c r="AE48" s="13">
        <v>1330550.3</v>
      </c>
      <c r="AF48" s="13">
        <v>2176388.2999999998</v>
      </c>
      <c r="AG48" s="13">
        <v>2036776.7</v>
      </c>
      <c r="AH48" s="13">
        <v>1550704.7</v>
      </c>
      <c r="AI48" s="13">
        <v>967494.7</v>
      </c>
      <c r="AJ48" s="13">
        <v>1284195.5</v>
      </c>
      <c r="AK48" s="13">
        <v>467632.2</v>
      </c>
      <c r="AL48" s="13">
        <v>21351.7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</row>
    <row r="49" spans="1:47" ht="13.5" x14ac:dyDescent="0.25">
      <c r="A49" s="11" t="s">
        <v>132</v>
      </c>
      <c r="B49" s="10" t="s">
        <v>9</v>
      </c>
      <c r="C49" s="12">
        <v>455757.4</v>
      </c>
      <c r="D49" s="12">
        <v>293671.09999999998</v>
      </c>
      <c r="E49" s="12">
        <v>64889.3</v>
      </c>
      <c r="F49" s="12">
        <v>87786.1</v>
      </c>
      <c r="G49" s="12">
        <v>935808.4</v>
      </c>
      <c r="H49" s="12">
        <v>87018.8</v>
      </c>
      <c r="I49" s="12">
        <v>98613</v>
      </c>
      <c r="J49" s="12">
        <v>269203.3</v>
      </c>
      <c r="K49" s="12">
        <v>490118.1</v>
      </c>
      <c r="L49" s="12">
        <v>785327</v>
      </c>
      <c r="M49" s="12">
        <v>230983</v>
      </c>
      <c r="N49" s="12">
        <v>119491.4</v>
      </c>
      <c r="O49" s="12">
        <v>225243.7</v>
      </c>
      <c r="P49" s="12">
        <v>367581.1</v>
      </c>
      <c r="Q49" s="12">
        <v>380874.8</v>
      </c>
      <c r="R49" s="12">
        <v>125254.1</v>
      </c>
      <c r="S49" s="12">
        <v>380878.6</v>
      </c>
      <c r="T49" s="12">
        <v>666400</v>
      </c>
      <c r="U49" s="12">
        <v>334983</v>
      </c>
      <c r="V49" s="12">
        <v>246719.5</v>
      </c>
      <c r="W49" s="12">
        <v>475620.1</v>
      </c>
      <c r="X49" s="12">
        <v>1351706.6</v>
      </c>
      <c r="Y49" s="12">
        <v>2970593.4</v>
      </c>
      <c r="Z49" s="12">
        <v>1121923.2</v>
      </c>
      <c r="AA49" s="12">
        <v>917753.9</v>
      </c>
      <c r="AB49" s="12">
        <v>657592</v>
      </c>
      <c r="AC49" s="12">
        <v>635977.4</v>
      </c>
      <c r="AD49" s="12">
        <v>578097.80000000005</v>
      </c>
      <c r="AE49" s="12">
        <v>2294683.9</v>
      </c>
      <c r="AF49" s="12">
        <v>3002385.4</v>
      </c>
      <c r="AG49" s="12">
        <v>3345452.3</v>
      </c>
      <c r="AH49" s="12">
        <v>2508797.2999999998</v>
      </c>
      <c r="AI49" s="12">
        <v>1304057.3999999999</v>
      </c>
      <c r="AJ49" s="12">
        <v>2187438.6</v>
      </c>
      <c r="AK49" s="12">
        <v>800816.1</v>
      </c>
      <c r="AL49" s="12">
        <v>21351.7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</row>
    <row r="50" spans="1:47" x14ac:dyDescent="0.2">
      <c r="A50" s="14" t="s">
        <v>133</v>
      </c>
    </row>
    <row r="54" spans="1:47" ht="15" x14ac:dyDescent="0.25">
      <c r="A54" s="80" t="s">
        <v>26</v>
      </c>
      <c r="C54" s="6" t="s">
        <v>229</v>
      </c>
    </row>
    <row r="55" spans="1:47" ht="15" x14ac:dyDescent="0.25">
      <c r="A55" s="3" t="s">
        <v>230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/>
    <hyperlink ref="C3" r:id="rId2" display="http://localhost/OECDStat_Metadata/ShowMetadata.ashx?Dataset=IOTSI4_2018&amp;Coords=[VAR].[TTL]&amp;ShowOnWeb=true&amp;Lang=en"/>
    <hyperlink ref="A50" r:id="rId3" display="https://stats-3.oecd.org/index.aspx?DatasetCode=IOTSI4_2018"/>
    <hyperlink ref="A55" r:id="rId4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baseColWidth="10" defaultColWidth="8.85546875" defaultRowHeight="15" x14ac:dyDescent="0.25"/>
  <cols>
    <col min="1" max="1" width="48.28515625" customWidth="1"/>
    <col min="2" max="2" width="21.7109375" customWidth="1"/>
    <col min="3" max="3" width="40.140625" customWidth="1"/>
    <col min="4" max="4" width="20.28515625" customWidth="1"/>
    <col min="5" max="5" width="24.140625" customWidth="1"/>
    <col min="6" max="6" width="21.42578125" customWidth="1"/>
    <col min="7" max="9" width="20.85546875" customWidth="1"/>
    <col min="10" max="10" width="19.85546875" customWidth="1"/>
    <col min="11" max="11" width="23.42578125" customWidth="1"/>
    <col min="12" max="12" width="22.42578125" customWidth="1"/>
    <col min="13" max="13" width="20.28515625" customWidth="1"/>
    <col min="14" max="15" width="18.42578125" customWidth="1"/>
    <col min="16" max="16" width="23" customWidth="1"/>
    <col min="17" max="17" width="20.85546875" customWidth="1"/>
    <col min="18" max="18" width="19.140625" customWidth="1"/>
    <col min="19" max="19" width="16.42578125" customWidth="1"/>
  </cols>
  <sheetData>
    <row r="1" spans="1:19" x14ac:dyDescent="0.25">
      <c r="A1" s="1" t="s">
        <v>152</v>
      </c>
    </row>
    <row r="2" spans="1:19" x14ac:dyDescent="0.25">
      <c r="A2" s="19" t="s">
        <v>161</v>
      </c>
    </row>
    <row r="3" spans="1:19" s="24" customFormat="1" ht="30.75" thickBot="1" x14ac:dyDescent="0.3">
      <c r="A3" s="20" t="s">
        <v>162</v>
      </c>
      <c r="B3" s="21" t="s">
        <v>163</v>
      </c>
      <c r="C3" s="20" t="s">
        <v>164</v>
      </c>
      <c r="D3" s="22" t="s">
        <v>153</v>
      </c>
      <c r="E3" s="22" t="s">
        <v>154</v>
      </c>
      <c r="F3" s="23" t="s">
        <v>165</v>
      </c>
      <c r="G3" s="22" t="s">
        <v>166</v>
      </c>
      <c r="H3" s="22" t="s">
        <v>167</v>
      </c>
      <c r="I3" s="23" t="s">
        <v>168</v>
      </c>
      <c r="J3" s="22" t="s">
        <v>169</v>
      </c>
      <c r="K3" s="22" t="s">
        <v>170</v>
      </c>
      <c r="L3" s="23" t="s">
        <v>171</v>
      </c>
      <c r="M3" s="22" t="s">
        <v>172</v>
      </c>
      <c r="N3" s="22" t="s">
        <v>173</v>
      </c>
      <c r="O3" s="23" t="s">
        <v>174</v>
      </c>
      <c r="P3" s="22" t="s">
        <v>175</v>
      </c>
      <c r="Q3" s="22" t="s">
        <v>176</v>
      </c>
      <c r="R3" s="22" t="s">
        <v>177</v>
      </c>
      <c r="S3" s="23" t="s">
        <v>178</v>
      </c>
    </row>
    <row r="4" spans="1:19" ht="15.75" thickTop="1" x14ac:dyDescent="0.25">
      <c r="A4" s="25" t="s">
        <v>155</v>
      </c>
      <c r="C4" s="25"/>
      <c r="D4" s="49">
        <v>580</v>
      </c>
      <c r="E4" s="49">
        <v>680</v>
      </c>
      <c r="F4" s="50" t="s">
        <v>219</v>
      </c>
      <c r="G4" s="49" t="s">
        <v>220</v>
      </c>
      <c r="H4" s="49">
        <v>2094</v>
      </c>
      <c r="I4" s="50" t="s">
        <v>221</v>
      </c>
      <c r="J4" s="51">
        <v>23003</v>
      </c>
      <c r="K4" s="51" t="s">
        <v>222</v>
      </c>
      <c r="L4" s="52" t="s">
        <v>223</v>
      </c>
      <c r="M4" s="51" t="s">
        <v>224</v>
      </c>
      <c r="N4" s="51" t="s">
        <v>225</v>
      </c>
      <c r="O4" s="52"/>
      <c r="P4" s="51">
        <v>35001</v>
      </c>
      <c r="Q4" s="51">
        <f>P4</f>
        <v>35001</v>
      </c>
      <c r="R4" s="51">
        <v>36801</v>
      </c>
      <c r="S4" s="52"/>
    </row>
    <row r="5" spans="1:19" x14ac:dyDescent="0.25">
      <c r="A5" s="25" t="s">
        <v>156</v>
      </c>
      <c r="C5" s="25"/>
      <c r="D5" s="18" t="s">
        <v>157</v>
      </c>
      <c r="E5" s="18" t="s">
        <v>158</v>
      </c>
      <c r="F5" s="26" t="s">
        <v>179</v>
      </c>
      <c r="G5" s="18">
        <v>20</v>
      </c>
      <c r="H5" s="18">
        <v>21</v>
      </c>
      <c r="I5" s="26" t="s">
        <v>180</v>
      </c>
      <c r="J5" s="4">
        <v>231</v>
      </c>
      <c r="K5" s="4">
        <v>239</v>
      </c>
      <c r="L5" s="27">
        <v>23</v>
      </c>
      <c r="M5">
        <v>241</v>
      </c>
      <c r="N5">
        <v>242</v>
      </c>
      <c r="O5" s="25">
        <v>24</v>
      </c>
      <c r="P5" s="4">
        <v>351</v>
      </c>
      <c r="Q5" s="4" t="s">
        <v>181</v>
      </c>
      <c r="R5" s="4" t="s">
        <v>182</v>
      </c>
      <c r="S5" s="27" t="s">
        <v>183</v>
      </c>
    </row>
    <row r="6" spans="1:19" x14ac:dyDescent="0.25">
      <c r="A6" s="28" t="s">
        <v>184</v>
      </c>
      <c r="B6" s="48" t="s">
        <v>218</v>
      </c>
      <c r="C6" s="25" t="s">
        <v>185</v>
      </c>
      <c r="D6" s="79">
        <f>D9</f>
        <v>10877</v>
      </c>
      <c r="E6" s="79">
        <f>D10</f>
        <v>98426.000000000015</v>
      </c>
      <c r="F6" s="78">
        <f>SUM(D9,D11:D12)</f>
        <v>51373.999999999993</v>
      </c>
      <c r="G6" s="77">
        <f>SUM(D13:D15)</f>
        <v>211560.99999999997</v>
      </c>
      <c r="H6" s="77">
        <f>D16</f>
        <v>34825.000000000007</v>
      </c>
      <c r="I6" s="25"/>
      <c r="J6" s="29">
        <f>D19</f>
        <v>33040.528962049721</v>
      </c>
      <c r="K6" s="29">
        <f>SUM(D17:D18)</f>
        <v>90597.47103795025</v>
      </c>
      <c r="L6" s="25"/>
      <c r="M6" s="29">
        <f>D20</f>
        <v>79844.999999999985</v>
      </c>
      <c r="N6" s="77">
        <f>D21</f>
        <v>44607.000000000007</v>
      </c>
      <c r="O6" s="25"/>
      <c r="P6" s="29">
        <f>G22*D22</f>
        <v>131465.99999999997</v>
      </c>
      <c r="Q6" s="29">
        <f>G23*D22</f>
        <v>43821.999999999993</v>
      </c>
      <c r="R6" s="29">
        <f>D23</f>
        <v>25127</v>
      </c>
      <c r="S6" s="25"/>
    </row>
    <row r="8" spans="1:19" x14ac:dyDescent="0.25">
      <c r="B8" s="39" t="s">
        <v>217</v>
      </c>
      <c r="C8" s="40"/>
      <c r="D8" s="41" t="s">
        <v>197</v>
      </c>
      <c r="E8" s="40"/>
      <c r="F8" s="42"/>
      <c r="G8" s="40"/>
    </row>
    <row r="9" spans="1:19" ht="24" x14ac:dyDescent="0.25">
      <c r="B9" s="62">
        <v>580</v>
      </c>
      <c r="C9" s="56" t="s">
        <v>198</v>
      </c>
      <c r="D9" s="57">
        <v>10877</v>
      </c>
      <c r="E9" s="40"/>
      <c r="F9" s="40"/>
      <c r="G9" s="40"/>
    </row>
    <row r="10" spans="1:19" ht="24" x14ac:dyDescent="0.25">
      <c r="B10" s="63">
        <v>680</v>
      </c>
      <c r="C10" s="53" t="s">
        <v>199</v>
      </c>
      <c r="D10" s="59">
        <v>98426.000000000015</v>
      </c>
      <c r="E10" s="40"/>
      <c r="F10" s="40"/>
      <c r="G10" s="40"/>
    </row>
    <row r="11" spans="1:19" ht="24" x14ac:dyDescent="0.25">
      <c r="B11" s="63">
        <v>791</v>
      </c>
      <c r="C11" s="53" t="s">
        <v>200</v>
      </c>
      <c r="D11" s="59">
        <v>28836.999999999993</v>
      </c>
      <c r="E11" s="40"/>
      <c r="F11" s="40"/>
      <c r="G11" s="40"/>
    </row>
    <row r="12" spans="1:19" ht="24" x14ac:dyDescent="0.25">
      <c r="B12" s="64">
        <v>792</v>
      </c>
      <c r="C12" s="54" t="s">
        <v>201</v>
      </c>
      <c r="D12" s="61">
        <v>11659.999999999998</v>
      </c>
      <c r="E12" s="40"/>
      <c r="F12" s="40"/>
      <c r="G12" s="40"/>
    </row>
    <row r="13" spans="1:19" ht="24" x14ac:dyDescent="0.25">
      <c r="B13" s="55">
        <v>2091</v>
      </c>
      <c r="C13" s="56" t="s">
        <v>202</v>
      </c>
      <c r="D13" s="57">
        <v>120093.99999999997</v>
      </c>
      <c r="E13" s="40"/>
      <c r="F13" s="40"/>
      <c r="G13" s="40"/>
    </row>
    <row r="14" spans="1:19" ht="24" x14ac:dyDescent="0.25">
      <c r="B14" s="58">
        <v>2092</v>
      </c>
      <c r="C14" s="53" t="s">
        <v>203</v>
      </c>
      <c r="D14" s="59">
        <v>59389</v>
      </c>
      <c r="E14" s="40"/>
      <c r="F14" s="40"/>
      <c r="G14" s="40"/>
    </row>
    <row r="15" spans="1:19" ht="24" x14ac:dyDescent="0.25">
      <c r="B15" s="58">
        <v>2093</v>
      </c>
      <c r="C15" s="53" t="s">
        <v>204</v>
      </c>
      <c r="D15" s="59">
        <v>32078</v>
      </c>
      <c r="E15" s="40"/>
      <c r="F15" s="40"/>
      <c r="G15" s="40"/>
    </row>
    <row r="16" spans="1:19" ht="24" x14ac:dyDescent="0.25">
      <c r="B16" s="60">
        <v>2100</v>
      </c>
      <c r="C16" s="54" t="s">
        <v>205</v>
      </c>
      <c r="D16" s="61">
        <v>34825.000000000007</v>
      </c>
      <c r="E16" s="40"/>
      <c r="F16" s="40"/>
      <c r="G16" s="40"/>
    </row>
    <row r="17" spans="2:7" ht="36" x14ac:dyDescent="0.25">
      <c r="B17" s="65">
        <v>2300</v>
      </c>
      <c r="C17" s="66" t="s">
        <v>206</v>
      </c>
      <c r="D17" s="67">
        <v>61818.999999999993</v>
      </c>
      <c r="E17" s="45">
        <v>2300</v>
      </c>
      <c r="F17" s="43" t="s">
        <v>206</v>
      </c>
      <c r="G17" s="44">
        <f>SUM(G18:G20)</f>
        <v>87114</v>
      </c>
    </row>
    <row r="18" spans="2:7" ht="24" x14ac:dyDescent="0.25">
      <c r="B18" s="68" t="s">
        <v>207</v>
      </c>
      <c r="C18" s="69" t="s">
        <v>208</v>
      </c>
      <c r="D18" s="70">
        <f>D17*(G18+G19)/G17</f>
        <v>28778.471037950265</v>
      </c>
      <c r="E18" s="45">
        <v>23001</v>
      </c>
      <c r="F18" s="43" t="s">
        <v>209</v>
      </c>
      <c r="G18" s="44">
        <v>16383</v>
      </c>
    </row>
    <row r="19" spans="2:7" ht="24" x14ac:dyDescent="0.25">
      <c r="B19" s="71">
        <v>23003</v>
      </c>
      <c r="C19" s="72" t="s">
        <v>210</v>
      </c>
      <c r="D19" s="73">
        <f>D17*G20/G17</f>
        <v>33040.528962049721</v>
      </c>
      <c r="E19" s="45">
        <v>23002</v>
      </c>
      <c r="F19" s="43" t="s">
        <v>211</v>
      </c>
      <c r="G19" s="44">
        <v>24171</v>
      </c>
    </row>
    <row r="20" spans="2:7" ht="36" x14ac:dyDescent="0.25">
      <c r="B20" s="62">
        <v>2491</v>
      </c>
      <c r="C20" s="56" t="s">
        <v>212</v>
      </c>
      <c r="D20" s="57">
        <v>79844.999999999985</v>
      </c>
      <c r="E20" s="45">
        <v>23003</v>
      </c>
      <c r="F20" s="43" t="s">
        <v>210</v>
      </c>
      <c r="G20" s="44">
        <v>46560</v>
      </c>
    </row>
    <row r="21" spans="2:7" ht="24" x14ac:dyDescent="0.25">
      <c r="B21" s="64">
        <v>2492</v>
      </c>
      <c r="C21" s="54" t="s">
        <v>213</v>
      </c>
      <c r="D21" s="61">
        <v>44607.000000000007</v>
      </c>
      <c r="E21" s="40"/>
      <c r="F21" s="40"/>
      <c r="G21" s="40"/>
    </row>
    <row r="22" spans="2:7" ht="24" x14ac:dyDescent="0.25">
      <c r="B22" s="74">
        <v>3500</v>
      </c>
      <c r="C22" s="75" t="s">
        <v>214</v>
      </c>
      <c r="D22" s="76">
        <v>175287.99999999997</v>
      </c>
      <c r="E22" s="92" t="s">
        <v>215</v>
      </c>
      <c r="F22" s="46" t="s">
        <v>175</v>
      </c>
      <c r="G22" s="47">
        <v>0.75</v>
      </c>
    </row>
    <row r="23" spans="2:7" ht="24" x14ac:dyDescent="0.25">
      <c r="B23" s="64">
        <v>3680</v>
      </c>
      <c r="C23" s="54" t="s">
        <v>216</v>
      </c>
      <c r="D23" s="61">
        <v>25127</v>
      </c>
      <c r="E23" s="92"/>
      <c r="F23" s="46" t="s">
        <v>176</v>
      </c>
      <c r="G23" s="47">
        <v>0.25</v>
      </c>
    </row>
  </sheetData>
  <mergeCells count="1">
    <mergeCell ref="E22:E2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Q2"/>
  <sheetViews>
    <sheetView tabSelected="1" topLeftCell="L1" workbookViewId="0">
      <selection activeCell="S15" sqref="S15"/>
    </sheetView>
  </sheetViews>
  <sheetFormatPr baseColWidth="10" defaultColWidth="8.85546875" defaultRowHeight="15" x14ac:dyDescent="0.25"/>
  <cols>
    <col min="1" max="1" width="20.140625" customWidth="1"/>
    <col min="2" max="26" width="10.140625" customWidth="1"/>
    <col min="27" max="27" width="12.85546875" customWidth="1"/>
    <col min="28" max="43" width="10.140625" customWidth="1"/>
  </cols>
  <sheetData>
    <row r="1" spans="1:43" s="4" customFormat="1" x14ac:dyDescent="0.25">
      <c r="A1" s="15" t="s">
        <v>139</v>
      </c>
      <c r="B1" s="4" t="s">
        <v>10</v>
      </c>
      <c r="C1" s="30" t="s">
        <v>159</v>
      </c>
      <c r="D1" s="31" t="s">
        <v>160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30" t="s">
        <v>144</v>
      </c>
      <c r="M1" s="31" t="s">
        <v>145</v>
      </c>
      <c r="N1" s="4" t="s">
        <v>18</v>
      </c>
      <c r="O1" s="30" t="s">
        <v>186</v>
      </c>
      <c r="P1" s="31" t="s">
        <v>187</v>
      </c>
      <c r="Q1" s="30" t="s">
        <v>188</v>
      </c>
      <c r="R1" s="31" t="s">
        <v>189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30" t="s">
        <v>190</v>
      </c>
      <c r="AA1" s="36" t="s">
        <v>191</v>
      </c>
      <c r="AB1" s="31" t="s">
        <v>192</v>
      </c>
      <c r="AC1" s="80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</row>
    <row r="2" spans="1:43" ht="15.75" thickBot="1" x14ac:dyDescent="0.3">
      <c r="A2" t="s">
        <v>140</v>
      </c>
      <c r="B2">
        <f>'OECD TTL'!C49*10^6*About!$A$30</f>
        <v>441483794392.80725</v>
      </c>
      <c r="C2" s="32">
        <f>'OECD TTL'!D49*10^6*About!$A$30*('BR Data for ISIC Splits'!D6/SUM('BR Data for ISIC Splits'!D6:E6))</f>
        <v>28308658806.007992</v>
      </c>
      <c r="D2" s="33">
        <f>'OECD TTL'!D49*10^6*About!$A$30*('BR Data for ISIC Splits'!E6/SUM('BR Data for ISIC Splits'!D6:E6))</f>
        <v>256165123806.20972</v>
      </c>
      <c r="E2">
        <f>'OECD TTL'!E49*10^6*About!$A$30</f>
        <v>62857069088.715157</v>
      </c>
      <c r="F2">
        <f>'OECD TTL'!F49*10^6*About!$A$30</f>
        <v>85036777291.92421</v>
      </c>
      <c r="G2">
        <f>'OECD TTL'!G49*10^6*About!$A$30</f>
        <v>906500351407.70496</v>
      </c>
      <c r="H2">
        <f>'OECD TTL'!H49*10^6*About!$A$30</f>
        <v>84293507922.216553</v>
      </c>
      <c r="I2">
        <f>'OECD TTL'!I49*10^6*About!$A$30</f>
        <v>95524595796.925964</v>
      </c>
      <c r="J2">
        <f>'OECD TTL'!J49*10^6*About!$A$30</f>
        <v>260772275660.39566</v>
      </c>
      <c r="K2">
        <f>'OECD TTL'!K49*10^6*About!$A$30</f>
        <v>474768371261.97699</v>
      </c>
      <c r="L2" s="34">
        <f>'OECD TTL'!L49*10^6*About!$A$30*('BR Data for ISIC Splits'!G6/SUM('BR Data for ISIC Splits'!G6:H6))</f>
        <v>653207482287.15137</v>
      </c>
      <c r="M2" s="35">
        <f>'OECD TTL'!L49*10^6*About!$A$30*('BR Data for ISIC Splits'!H6/SUM('BR Data for ISIC Splits'!G6:H6))</f>
        <v>107524310107.48701</v>
      </c>
      <c r="N2">
        <f>'OECD TTL'!M49*10^6*About!$A$30</f>
        <v>223748975398.38916</v>
      </c>
      <c r="O2" s="34">
        <f>'OECD TTL'!N49*10^6*About!$A$30*('BR Data for ISIC Splits'!J6/SUM('BR Data for ISIC Splits'!J6:K6))</f>
        <v>30932335175.425014</v>
      </c>
      <c r="P2" s="35">
        <f>'OECD TTL'!N49*10^6*About!$A$30*('BR Data for ISIC Splits'!K6/SUM('BR Data for ISIC Splits'!J6:K6))</f>
        <v>84816781941.068741</v>
      </c>
      <c r="Q2" s="34">
        <f>'OECD TTL'!O49*10^6*About!$A$30*('BR Data for ISIC Splits'!M6/SUM('BR Data for ISIC Splits'!M6:N6))</f>
        <v>139984366182.73776</v>
      </c>
      <c r="R2" s="35">
        <f>'OECD TTL'!O49*10^6*About!$A$30*('BR Data for ISIC Splits'!N6/SUM('BR Data for ISIC Splits'!M6:N6))</f>
        <v>78205055073.12149</v>
      </c>
      <c r="S2">
        <f>'OECD TTL'!P49*10^6*About!$A$30</f>
        <v>356069037551.73682</v>
      </c>
      <c r="T2">
        <f>'OECD TTL'!Q49*10^6*About!$A$30</f>
        <v>368946399756.97949</v>
      </c>
      <c r="U2">
        <f>'OECD TTL'!R49*10^6*About!$A$30</f>
        <v>121331338407.79353</v>
      </c>
      <c r="V2">
        <f>'OECD TTL'!S49*10^6*About!$A$30</f>
        <v>368950080746.95062</v>
      </c>
      <c r="W2">
        <f>'OECD TTL'!T49*10^6*About!$A$30</f>
        <v>645529399157.02246</v>
      </c>
      <c r="X2">
        <f>'OECD TTL'!U49*10^6*About!$A$30</f>
        <v>324491858820.25342</v>
      </c>
      <c r="Y2">
        <f>'OECD TTL'!V49*10^6*About!$A$30</f>
        <v>238992632946.15997</v>
      </c>
      <c r="Z2" s="34">
        <f>'OECD TTL'!W49*10^6*About!$A$30*('BR Data for ISIC Splits'!P6/SUM('BR Data for ISIC Splits'!P6:R6))</f>
        <v>302220878514.71301</v>
      </c>
      <c r="AA2" s="37">
        <f>'OECD TTL'!W49*10^6*About!$A$30*('BR Data for ISIC Splits'!Q6/SUM('BR Data for ISIC Splits'!P6:R6))</f>
        <v>100740292838.23767</v>
      </c>
      <c r="AB2" s="35">
        <f>'OECD TTL'!W49*10^6*About!$A$30*('BR Data for ISIC Splits'!R6/SUM('BR Data for ISIC Splits'!P6:R6))</f>
        <v>57763254487.389854</v>
      </c>
      <c r="AC2" s="81">
        <f>'OECD TTL'!X49*10^6*About!$A$30</f>
        <v>1309373273311.197</v>
      </c>
      <c r="AD2">
        <f>'OECD TTL'!Y49*10^6*About!$A$30</f>
        <v>2877559082595.7632</v>
      </c>
      <c r="AE2">
        <f>'OECD TTL'!Z49*10^6*About!$A$30</f>
        <v>1086786328325.8163</v>
      </c>
      <c r="AF2">
        <f>'OECD TTL'!AA49*10^6*About!$A$30</f>
        <v>889011289977.51221</v>
      </c>
      <c r="AG2">
        <f>'OECD TTL'!AB49*10^6*About!$A$30</f>
        <v>636997251876.44775</v>
      </c>
      <c r="AH2">
        <f>'OECD TTL'!AC49*10^6*About!$A$30</f>
        <v>616059587184.04163</v>
      </c>
      <c r="AI2">
        <f>'OECD TTL'!AD49*10^6*About!$A$30</f>
        <v>559992685306.11731</v>
      </c>
      <c r="AJ2">
        <f>'OECD TTL'!AE49*10^6*About!$A$30</f>
        <v>2222818006035.854</v>
      </c>
      <c r="AK2">
        <f>'OECD TTL'!AF49*10^6*About!$A$30</f>
        <v>2908355407112.5698</v>
      </c>
      <c r="AL2">
        <f>'OECD TTL'!AG49*10^6*About!$A$30</f>
        <v>3240677990887.5737</v>
      </c>
      <c r="AM2">
        <f>'OECD TTL'!AH49*10^6*About!$A$30</f>
        <v>2430225710797.9595</v>
      </c>
      <c r="AN2">
        <f>'OECD TTL'!AI49*10^6*About!$A$30</f>
        <v>1263216371380.9558</v>
      </c>
      <c r="AO2">
        <f>'OECD TTL'!AJ49*10^6*About!$A$30</f>
        <v>2118931460310.4419</v>
      </c>
      <c r="AP2">
        <f>'OECD TTL'!AK49*10^6*About!$A$30</f>
        <v>775735798121.65369</v>
      </c>
      <c r="AQ2">
        <f>'OECD TTL'!AL49*10^6*About!$A$30</f>
        <v>20682998307.294415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About</vt:lpstr>
      <vt:lpstr>OECD TTL</vt:lpstr>
      <vt:lpstr>BR Data for ISIC Splits</vt:lpstr>
      <vt:lpstr>BObIC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2019-12-02T22:49:06Z</dcterms:created>
  <dcterms:modified xsi:type="dcterms:W3CDTF">2026-05-05T15:51:50Z</dcterms:modified>
</cp:coreProperties>
</file>