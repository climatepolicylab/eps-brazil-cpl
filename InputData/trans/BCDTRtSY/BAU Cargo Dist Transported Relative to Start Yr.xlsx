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2"/>
  </bookViews>
  <sheets>
    <sheet name="About" sheetId="1" state="visible" r:id="rId3"/>
    <sheet name="table 95" sheetId="2" state="visible" r:id="rId4"/>
    <sheet name="table 94" sheetId="3" state="visible" r:id="rId5"/>
    <sheet name="psgr-Road" sheetId="4" state="visible" r:id="rId6"/>
    <sheet name="psgr-Air" sheetId="5" state="visible" r:id="rId7"/>
    <sheet name="psgr-Rail" sheetId="6" state="visible" r:id="rId8"/>
    <sheet name="psgr-Ship" sheetId="7" state="visible" r:id="rId9"/>
    <sheet name="frgt-Road" sheetId="8" state="visible" r:id="rId10"/>
    <sheet name="frgt-Ship" sheetId="9" state="visible" r:id="rId11"/>
    <sheet name="frgt-Rail" sheetId="10" state="visible" r:id="rId12"/>
    <sheet name="frgt-Air" sheetId="11" state="visible" r:id="rId13"/>
    <sheet name="Evidence 2019-2025" sheetId="12" state="visible" r:id="rId14"/>
    <sheet name="BAU Adjustment" sheetId="13" state="visible" r:id="rId15"/>
    <sheet name="BCDTRtSY-psgr" sheetId="14" state="visible" r:id="rId16"/>
    <sheet name="BCDTRtSY-frgt" sheetId="15" state="visible" r:id="rId17"/>
  </sheets>
  <definedNames>
    <definedName function="false" hidden="false" name="ti_tbl_50" vbProcedure="false">#REF!</definedName>
    <definedName function="false" hidden="false" name="ti_tbl_69" vbProcedure="false">#REF!</definedName>
    <definedName function="false" hidden="false" localSheetId="14" name="ti_tbl_50" vbProcedure="false">#REF!</definedName>
    <definedName function="false" hidden="false" localSheetId="14" name="ti_tbl_69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<sst xmlns="http://schemas.openxmlformats.org/spreadsheetml/2006/main" count="399" uniqueCount="204">
  <si>
    <t xml:space="preserve">BCDTRtSY BAU Cargo Dist Transported Relative to Start Year</t>
  </si>
  <si>
    <t xml:space="preserve">Source:</t>
  </si>
  <si>
    <t xml:space="preserve">passenger PKM</t>
  </si>
  <si>
    <t xml:space="preserve">Brazilian Ministry of Science, Technology, Innovation and Communication (MCTIC)</t>
  </si>
  <si>
    <t xml:space="preserve">Report: "Greenhouse gas mitigation options in key sectors in Brazil"</t>
  </si>
  <si>
    <t xml:space="preserve">Version: "Sector modeling of low carbon options for the transport sector"</t>
  </si>
  <si>
    <t xml:space="preserve">https://www.mctic.gov.br/mctic/export/sites/institucional/ciencia/SEPED/clima/arquivos/projeto_opcoes_mitigacao/publicacoes/Setor-Transportes.pdf</t>
  </si>
  <si>
    <t xml:space="preserve">Page 247</t>
  </si>
  <si>
    <t xml:space="preserve">Table 94 - Passenger-Kilometers Transported by Modal (Millions of PKM)</t>
  </si>
  <si>
    <t xml:space="preserve">freight TKM</t>
  </si>
  <si>
    <t xml:space="preserve">page 248</t>
  </si>
  <si>
    <t xml:space="preserve">Table 95 - Tons-Kilometers Transported by Modal (Million)</t>
  </si>
  <si>
    <t xml:space="preserve">Notes</t>
  </si>
  <si>
    <t xml:space="preserve">This variable contains ratios of cargo distance transported in each year of the</t>
  </si>
  <si>
    <t xml:space="preserve">model run relative to the start year.  The start year is the year is 2019</t>
  </si>
  <si>
    <t xml:space="preserve">The start year column does not have to be included in the outputs but is retained here for visual clarity.</t>
  </si>
  <si>
    <t xml:space="preserve">We scale by passenger-miles and freight ton-miles.</t>
  </si>
  <si>
    <t xml:space="preserve">translation</t>
  </si>
  <si>
    <t xml:space="preserve">road</t>
  </si>
  <si>
    <t xml:space="preserve">railroad</t>
  </si>
  <si>
    <t xml:space="preserve">ships</t>
  </si>
  <si>
    <t xml:space="preserve">aircraft</t>
  </si>
  <si>
    <t xml:space="preserve">We group the vehicle type according to LDV, HDV and motorbike category and then computed the cargo distance transported relative to start year (2015)</t>
  </si>
  <si>
    <t xml:space="preserve">table 94 from MOP report summarizes the data</t>
  </si>
  <si>
    <t xml:space="preserve">The table below is from the excel file that generated the results for transportation sector, this file has more detalied informations about the modelling than the report.</t>
  </si>
  <si>
    <t xml:space="preserve">PKM (10³ pkm)</t>
  </si>
  <si>
    <t xml:space="preserve">Vehicle type</t>
  </si>
  <si>
    <t xml:space="preserve">Auto Gasoline C</t>
  </si>
  <si>
    <t xml:space="preserve">Auto Ethanol</t>
  </si>
  <si>
    <t xml:space="preserve">Auto flex</t>
  </si>
  <si>
    <t xml:space="preserve">Auto Hybrid</t>
  </si>
  <si>
    <t xml:space="preserve">Auto Plug-in Flex</t>
  </si>
  <si>
    <t xml:space="preserve">Auto Battery</t>
  </si>
  <si>
    <t xml:space="preserve">Com. Light Gasoline C</t>
  </si>
  <si>
    <t xml:space="preserve">Com. Light Ethanol</t>
  </si>
  <si>
    <t xml:space="preserve">Com. Light Flex</t>
  </si>
  <si>
    <t xml:space="preserve">Com. Light Diesel</t>
  </si>
  <si>
    <t xml:space="preserve">Gasoline motorcycle C</t>
  </si>
  <si>
    <t xml:space="preserve">Moto Flex</t>
  </si>
  <si>
    <t xml:space="preserve">City Bus Diesel</t>
  </si>
  <si>
    <t xml:space="preserve">Micro diesel</t>
  </si>
  <si>
    <t xml:space="preserve">Bus Rodo Diesel</t>
  </si>
  <si>
    <t xml:space="preserve">LDV</t>
  </si>
  <si>
    <t xml:space="preserve">Cargo Dist Transported Relative to Start Year</t>
  </si>
  <si>
    <t xml:space="preserve">HDV</t>
  </si>
  <si>
    <t xml:space="preserve">Motorbike</t>
  </si>
  <si>
    <t xml:space="preserve">Computed pkm relative to start year based on MOP's pkm estimation for reference scenario.</t>
  </si>
  <si>
    <t xml:space="preserve">Aircraft</t>
  </si>
  <si>
    <t xml:space="preserve">PKM (Millions)</t>
  </si>
  <si>
    <t xml:space="preserve">PKM relative to start Yr</t>
  </si>
  <si>
    <t xml:space="preserve">Computed pkm relative to start year based on table 94</t>
  </si>
  <si>
    <t xml:space="preserve">The time series was Linear interpolated</t>
  </si>
  <si>
    <t xml:space="preserve">Rail</t>
  </si>
  <si>
    <t xml:space="preserve">Interpolated</t>
  </si>
  <si>
    <t xml:space="preserve">Ship</t>
  </si>
  <si>
    <t xml:space="preserve">LDV corresponds to light commercials vehicles</t>
  </si>
  <si>
    <t xml:space="preserve">HDV correspond to the average of all fleet, exclueded light commercials, relative to start year average</t>
  </si>
  <si>
    <t xml:space="preserve">table 95 from MOP report summarizes the data</t>
  </si>
  <si>
    <t xml:space="preserve">TKU</t>
  </si>
  <si>
    <t xml:space="preserve">Year</t>
  </si>
  <si>
    <t xml:space="preserve">Light Commercials</t>
  </si>
  <si>
    <t xml:space="preserve">Semilight Trucks</t>
  </si>
  <si>
    <t xml:space="preserve">Light Trucks</t>
  </si>
  <si>
    <t xml:space="preserve">Medium Trucks</t>
  </si>
  <si>
    <t xml:space="preserve">Semi-heavy trucks</t>
  </si>
  <si>
    <t xml:space="preserve">Heavy Trucks</t>
  </si>
  <si>
    <t xml:space="preserve">Computed pkm relative to start year based on table 95</t>
  </si>
  <si>
    <t xml:space="preserve">TKM (Millions)</t>
  </si>
  <si>
    <t xml:space="preserve">Air</t>
  </si>
  <si>
    <t xml:space="preserve">Observed Brazilian transport data used to adjust the MCTIC (2017) BAU projections</t>
  </si>
  <si>
    <t xml:space="preserve">Blue = value typed from the cited source. Black = formula. Edit any blue cell and every downstream result updates.</t>
  </si>
  <si>
    <t xml:space="preserve">Item</t>
  </si>
  <si>
    <t xml:space="preserve">Value</t>
  </si>
  <si>
    <t xml:space="preserve">Unit</t>
  </si>
  <si>
    <t xml:space="preserve">Source (publisher, document, URL)</t>
  </si>
  <si>
    <t xml:space="preserve">Note</t>
  </si>
  <si>
    <t xml:space="preserve">Diesel B sales</t>
  </si>
  <si>
    <t xml:space="preserve">bn litres</t>
  </si>
  <si>
    <t xml:space="preserve">2020</t>
  </si>
  <si>
    <t xml:space="preserve">ANP, "Comercialização de combustíveis em 2020 teve queda de 5,97%", https://www.gov.br/anp/pt-br/canais_atendimento/imprensa/noticias-comunicados/comercializacao-de-combustiveis-em-2020-teve-queda-de-5-97-na-comparacao-com-2019-devido-a-pandemia</t>
  </si>
  <si>
    <t xml:space="preserve">Diesel B change 2020 vs 2019</t>
  </si>
  <si>
    <t xml:space="preserve">fraction</t>
  </si>
  <si>
    <t xml:space="preserve">ANP (same release)</t>
  </si>
  <si>
    <t xml:space="preserve">+0.30%</t>
  </si>
  <si>
    <t xml:space="preserve">2024</t>
  </si>
  <si>
    <t xml:space="preserve">ANP, "País teve comercialização de mais de 130 bilhões de litros de combustíveis em 2024", https://www.gov.br/anp/pt-br/canais_atendimento/imprensa/noticias-comunicados/pais-teve-comercializacao-de-mais-de-130-bilhoes-de-litros-de-combustiveis-em-2024</t>
  </si>
  <si>
    <t xml:space="preserve">Gasoline C sales</t>
  </si>
  <si>
    <t xml:space="preserve">ANP 2020 release (above)</t>
  </si>
  <si>
    <t xml:space="preserve">Gasoline C change 2020 vs 2019</t>
  </si>
  <si>
    <t xml:space="preserve">-6.13%</t>
  </si>
  <si>
    <t xml:space="preserve">ANP 2024 release (above)</t>
  </si>
  <si>
    <t xml:space="preserve">Hydrous ethanol sales</t>
  </si>
  <si>
    <t xml:space="preserve">Hydrous ethanol change 2020 vs 2019</t>
  </si>
  <si>
    <t xml:space="preserve">-14.58%</t>
  </si>
  <si>
    <t xml:space="preserve">Hydrous ethanol : gasoline C distance equivalence</t>
  </si>
  <si>
    <t xml:space="preserve">ratio</t>
  </si>
  <si>
    <t xml:space="preserve">-</t>
  </si>
  <si>
    <t xml:space="preserve">ASSUMPTION: the usual Brazilian 70% price-parity rule, i.e. 1 L ethanol drives ~0.7 of the distance of 1 L gasoline C</t>
  </si>
  <si>
    <t xml:space="preserve">Used to convert light-fuel litres into a vehicle-km proxy</t>
  </si>
  <si>
    <t xml:space="preserve">Domestic air RPK change 2020 vs 2019</t>
  </si>
  <si>
    <t xml:space="preserve">ANAC, "Com pandemia indicadores do setor aéreo reduzem 50% em 2020", https://www.anac.gov.br/noticias/2021/com-pandemia-indicadores-do-setor-aereo-reduzem-50-em-2020-1</t>
  </si>
  <si>
    <t xml:space="preserve">-48.7%</t>
  </si>
  <si>
    <t xml:space="preserve">Domestic air passengers change 2025 vs 2019</t>
  </si>
  <si>
    <t xml:space="preserve">2025</t>
  </si>
  <si>
    <t xml:space="preserve">ANAC, "Com quase 130 milhões de viajantes...", https://www.gov.br/anac/pt-br/noticias/2026/com-quase-130-milhoes-de-viajantes-aviacao-alcanca-melhores-indices-de-movimentacao-de-passageiros-da-historia</t>
  </si>
  <si>
    <t xml:space="preserve">Passengers, used as RPK proxy (+5.3%)</t>
  </si>
  <si>
    <t xml:space="preserve">Domestic air cargo</t>
  </si>
  <si>
    <t xml:space="preserve">tonnes</t>
  </si>
  <si>
    <t xml:space="preserve">ANAC 2020 release (above)</t>
  </si>
  <si>
    <t xml:space="preserve">Domestic air cargo change 2020 vs 2019</t>
  </si>
  <si>
    <t xml:space="preserve">-28.3%</t>
  </si>
  <si>
    <t xml:space="preserve">ANAC, "Com 118 milhões de passageiros transportados em 2024...", https://www.gov.br/anac/pt-br/noticias/2025/com-118-milhoes-de-passageiros-transportados-em-2024-setor-aereo-tem-segundo-melhor-desempenhos-da-his</t>
  </si>
  <si>
    <t xml:space="preserve">Tonnes, used as tonne-km proxy</t>
  </si>
  <si>
    <t xml:space="preserve">Rail freight production</t>
  </si>
  <si>
    <t xml:space="preserve">bn TKU</t>
  </si>
  <si>
    <t xml:space="preserve">2019</t>
  </si>
  <si>
    <t xml:space="preserve">ANTF (2019) as cited in Revista Conecta v.3 (2020), https://fatecrl.edu.br/revistaconecta/index.php/rc/article/download/18/14/25</t>
  </si>
  <si>
    <t xml:space="preserve">Secondary citation of ANTF</t>
  </si>
  <si>
    <t xml:space="preserve">ANTF, cited by FTC, https://www.ftc.com.br/detalhe/786</t>
  </si>
  <si>
    <t xml:space="preserve">2022</t>
  </si>
  <si>
    <t xml:space="preserve">ANTF, "Carga geral: expansão anual média chega a 4,1%", https://www.antf.org.br/carga-geral-expansao-anual-media-chega-a-41/</t>
  </si>
  <si>
    <t xml:space="preserve">Port cargo handled</t>
  </si>
  <si>
    <t xml:space="preserve">bn tonnes</t>
  </si>
  <si>
    <t xml:space="preserve">ANTAQ, "Movimentação portuária cresce 4,2% em 2020", https://www.gov.br/antaq/pt-br/noticias/2021/movimentacao-portuaria-cresce-4-2-em-2020</t>
  </si>
  <si>
    <t xml:space="preserve">Tonnes, used as ship tonne-km proxy</t>
  </si>
  <si>
    <t xml:space="preserve">Port cargo change 2020 vs 2019</t>
  </si>
  <si>
    <t xml:space="preserve">ANTAQ 2020 release (above)</t>
  </si>
  <si>
    <t xml:space="preserve">+4.2%</t>
  </si>
  <si>
    <t xml:space="preserve">ANTAQ, "Recorde nos portos...2024", https://www.gov.br/antaq/pt-br/noticias/2025/recorde-nos-portos-setor-aquaviario-movimenta-mais-de-1-32-bi-de-toneladas-em-2024</t>
  </si>
  <si>
    <t xml:space="preserve">Metro/urban rail passengers</t>
  </si>
  <si>
    <t xml:space="preserve">bn trips</t>
  </si>
  <si>
    <t xml:space="preserve">ANPTrilhos Balanço 2020-2021, via Diário do Transporte, https://diariodotransporte.com.br/2021/04/23/setor-de-trilhos-transportou-16-bilhao-de-passageiros-a-menos-em-2020-sete-vezes-a-populacao-do-brasil/</t>
  </si>
  <si>
    <t xml:space="preserve">Metro/urban rail passengers change 2020 vs 2019</t>
  </si>
  <si>
    <t xml:space="preserve">ANPTrilhos (same source)</t>
  </si>
  <si>
    <t xml:space="preserve">-46.7%</t>
  </si>
  <si>
    <t xml:space="preserve">ANPTrilhos, "Balanço Metroferroviário 2024", https://anptrilhos.org.br/balanco-metroferroviario-2024-transporte-sobre-trilhos-cresce-e-transporta-257-bilhoes-de-passageiros/</t>
  </si>
  <si>
    <t xml:space="preserve">Trips, used as pkm proxy</t>
  </si>
  <si>
    <t xml:space="preserve">Urban bus paying passengers change 2020 vs 2019</t>
  </si>
  <si>
    <t xml:space="preserve">NTU Anuário 2020-2021, via Exame, https://exame.com/bussola/com-pandemia-numero-de-passageiros-de-onibus-urbanos-cai-51/</t>
  </si>
  <si>
    <t xml:space="preserve">Nine state capitals</t>
  </si>
  <si>
    <t xml:space="preserve">Urban bus passengers change 2024 vs 2019</t>
  </si>
  <si>
    <t xml:space="preserve">NTU Anuário 2024-2025, https://ntu.org.br/ntu-urbano/7/ainda-em-recuperacao</t>
  </si>
  <si>
    <t xml:space="preserve">-19.5%</t>
  </si>
  <si>
    <t xml:space="preserve">Interstate bus passengers</t>
  </si>
  <si>
    <t xml:space="preserve">million</t>
  </si>
  <si>
    <t xml:space="preserve">ANTT, TRIIP presentation, https://portal.antt.gov.br/en/resultado/-/asset_publisher/m2By5inRuGGs/content/id/2469286</t>
  </si>
  <si>
    <t xml:space="preserve">"more than 90 million"</t>
  </si>
  <si>
    <t xml:space="preserve">ANTT (same source)</t>
  </si>
  <si>
    <t xml:space="preserve">"more than 46 million"</t>
  </si>
  <si>
    <t xml:space="preserve">Derived 2019 base values (formulas)</t>
  </si>
  <si>
    <t xml:space="preserve">Diesel B sales 2019 (back-calculated)</t>
  </si>
  <si>
    <t xml:space="preserve">Gasoline C sales 2019 (back-calculated)</t>
  </si>
  <si>
    <t xml:space="preserve">Hydrous ethanol sales 2019 (back-calculated)</t>
  </si>
  <si>
    <t xml:space="preserve">Domestic air cargo 2019 (back-calculated)</t>
  </si>
  <si>
    <t xml:space="preserve">Port cargo 2019 (back-calculated)</t>
  </si>
  <si>
    <t xml:space="preserve">Light-fuel distance proxy 2019 = gasoline + k x ethanol</t>
  </si>
  <si>
    <t xml:space="preserve">bn L gasoline-eq.</t>
  </si>
  <si>
    <t xml:space="preserve">Light-fuel distance proxy 2020</t>
  </si>
  <si>
    <t xml:space="preserve">Light-fuel distance proxy 2024</t>
  </si>
  <si>
    <t xml:space="preserve">Urban share of 2019 bus pkm (city bus + micro), MCTIC psgr-Road</t>
  </si>
  <si>
    <t xml:space="preserve">Observed activity index by mode (2019 = 1) — feeds BAU Adjustment</t>
  </si>
  <si>
    <t xml:space="preserve">Mode</t>
  </si>
  <si>
    <t xml:space="preserve">Blue sheet</t>
  </si>
  <si>
    <t xml:space="preserve">2020 index (observed)</t>
  </si>
  <si>
    <t xml:space="preserve">Calibration year</t>
  </si>
  <si>
    <t xml:space="preserve">Calibration-year index (observed)</t>
  </si>
  <si>
    <t xml:space="preserve">Basis / proxy</t>
  </si>
  <si>
    <t xml:space="preserve">2020 value USED in model (= G61 for all modes)</t>
  </si>
  <si>
    <t xml:space="preserve">LDVs</t>
  </si>
  <si>
    <t xml:space="preserve">psgr</t>
  </si>
  <si>
    <t xml:space="preserve">Gasoline C + 0.7 x hydrous ethanol sales (ANP)</t>
  </si>
  <si>
    <t xml:space="preserve">HDVs</t>
  </si>
  <si>
    <t xml:space="preserve">2020: urban (NTU) and interstate (ANTT) bus passengers, weighted by MCTIC 2019 pkm. 2024: NTU urban value applied to all buses (no comparable interstate 2024 figure)</t>
  </si>
  <si>
    <t xml:space="preserve">ANAC domestic RPK (2020) and domestic passengers (2025)</t>
  </si>
  <si>
    <t xml:space="preserve">rail</t>
  </si>
  <si>
    <t xml:space="preserve">ANPTrilhos metro/urban rail passengers</t>
  </si>
  <si>
    <t xml:space="preserve">PROXY: no national ferry statistic found; urban rail used as the closest public-transport analogue</t>
  </si>
  <si>
    <t xml:space="preserve">motorbikes</t>
  </si>
  <si>
    <t xml:space="preserve">PROXY: light-fuel sales (motorcycles run on gasoline C / flex)</t>
  </si>
  <si>
    <t xml:space="preserve">frgt</t>
  </si>
  <si>
    <t xml:space="preserve">Diesel B sales (ANP). Note: diesel also covers buses and farm machinery</t>
  </si>
  <si>
    <t xml:space="preserve">ANAC domestic air cargo tonnes</t>
  </si>
  <si>
    <t xml:space="preserve">ANTF rail TKU (latest clean annual total found: 2022)</t>
  </si>
  <si>
    <t xml:space="preserve">ANTAQ port tonnes (includes long-haul international shipping)</t>
  </si>
  <si>
    <t xml:space="preserve">No freight by motorbike in the original file</t>
  </si>
  <si>
    <t xml:space="preserve">User-specified: 2020 = 1.15 for all modes (cell G61), replacing the observed 2020 index in column C, which is kept for reference.</t>
  </si>
  <si>
    <t xml:space="preserve">2020 value applied to all modes (input, user-specified)</t>
  </si>
  <si>
    <t xml:space="preserve">BAU adjustment: MCTIC (2017) projections calibrated to observed 2020 shock and latest observed year</t>
  </si>
  <si>
    <t xml:space="preserve">Method. O(t) = original MCTIC ratio to 2019. S = 2020 value used (user input 1.15, Evidence G61). C = observed index in calibration year Tc (sheet "Evidence 2019-2025").</t>
  </si>
  <si>
    <t xml:space="preserve">Multiplier m(2020) = S / O(2020);  m(Tc) = C / O(Tc);  m(t) moves linearly from m(2020) to m(Tc) between 2020 and Tc, and stays at m(Tc) after Tc.</t>
  </si>
  <si>
    <t xml:space="preserve">Adjusted(t) = O(t) x m(t). So 2019 = 1, 2020 = observed value, Tc = observed value, and after Tc the MCTIC growth rates apply from the observed level.</t>
  </si>
  <si>
    <t xml:space="preserve">Passenger: original MCTIC ratios O(t)</t>
  </si>
  <si>
    <t xml:space="preserve">S = 2020 value used (Evidence col G)</t>
  </si>
  <si>
    <t xml:space="preserve">S (2020 obs.)</t>
  </si>
  <si>
    <t xml:space="preserve">Tc</t>
  </si>
  <si>
    <t xml:space="preserve">C (Tc obs.)</t>
  </si>
  <si>
    <t xml:space="preserve">m(2020)</t>
  </si>
  <si>
    <t xml:space="preserve">m(Tc)</t>
  </si>
  <si>
    <t xml:space="preserve">Passenger: multiplier m(t)</t>
  </si>
  <si>
    <t xml:space="preserve">Passenger: ADJUSTED ratio = O(t) x m(t)  (linked to blue sheet)</t>
  </si>
  <si>
    <t xml:space="preserve">Freight: original MCTIC ratios O(t)</t>
  </si>
  <si>
    <t xml:space="preserve">Freight: multiplier m(t)</t>
  </si>
  <si>
    <t xml:space="preserve">Freight: ADJUSTED ratio = O(t) x m(t)  (linked to blue sheet)</t>
  </si>
  <si>
    <t xml:space="preserve">Cargo Dist Transported Relative to Start Year (dimensionless)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</si>
</sst>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_(* #,##0.00_);_(* \(#,##0.00\);_(* \-??_);_(@_)"/>
    <numFmt numFmtId="166" formatCode="_(\$* #,##0.00_);_(\$* \(#,##0.00\);_(\$* \-??_);_(@_)"/>
    <numFmt numFmtId="167" formatCode="###0.00_)"/>
    <numFmt numFmtId="168" formatCode="#,##0_)"/>
    <numFmt numFmtId="169" formatCode="@"/>
    <numFmt numFmtId="170" formatCode="0%"/>
    <numFmt numFmtId="171" formatCode="#,##0"/>
    <numFmt numFmtId="172" formatCode="#,##0.000"/>
    <numFmt numFmtId="173" formatCode="0.00%"/>
    <numFmt numFmtId="174" formatCode="0"/>
    <numFmt numFmtId="175" formatCode="0.0%"/>
    <numFmt numFmtId="176" formatCode="0.000"/>
    <numFmt numFmtId="177" formatCode="0.00"/>
  </numFmts>
  <fonts count="5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sz val="11"/>
      <color rgb="FFFFFFFF"/>
      <name val="Calibri"/>
      <family val="2"/>
      <charset val="1"/>
    </font>
    <font>
      <sz val="11"/>
      <color rgb="FF800080"/>
      <name val="Calibri"/>
      <family val="2"/>
      <charset val="1"/>
    </font>
    <font>
      <sz val="9"/>
      <color rgb="FF000000"/>
      <name val="Calibri"/>
      <family val="2"/>
      <charset val="1"/>
    </font>
    <font>
      <b val="true"/>
      <sz val="11"/>
      <color rgb="FFFF9900"/>
      <name val="Calibri"/>
      <family val="2"/>
      <charset val="1"/>
    </font>
    <font>
      <b val="true"/>
      <sz val="11"/>
      <color rgb="FFFFFFFF"/>
      <name val="Calibri"/>
      <family val="2"/>
      <charset val="1"/>
    </font>
    <font>
      <sz val="12"/>
      <name val="Arial"/>
      <family val="0"/>
      <charset val="1"/>
    </font>
    <font>
      <sz val="10"/>
      <name val="Arial"/>
      <family val="2"/>
      <charset val="1"/>
    </font>
    <font>
      <b val="true"/>
      <sz val="12"/>
      <name val="Arial"/>
      <family val="0"/>
      <charset val="1"/>
    </font>
    <font>
      <sz val="10"/>
      <name val="Arial"/>
      <family val="0"/>
      <charset val="1"/>
    </font>
    <font>
      <sz val="9"/>
      <name val="Arial"/>
      <family val="0"/>
      <charset val="1"/>
    </font>
    <font>
      <i val="true"/>
      <sz val="11"/>
      <color rgb="FF808080"/>
      <name val="Calibri"/>
      <family val="2"/>
      <charset val="1"/>
    </font>
    <font>
      <sz val="11"/>
      <color rgb="FF008000"/>
      <name val="Calibri"/>
      <family val="2"/>
      <charset val="1"/>
    </font>
    <font>
      <b val="true"/>
      <sz val="9"/>
      <color rgb="FF000000"/>
      <name val="Calibri"/>
      <family val="2"/>
      <charset val="1"/>
    </font>
    <font>
      <b val="true"/>
      <sz val="15"/>
      <color rgb="FF003366"/>
      <name val="Calibri"/>
      <family val="2"/>
      <charset val="1"/>
    </font>
    <font>
      <b val="true"/>
      <sz val="13"/>
      <color rgb="FF003366"/>
      <name val="Calibri"/>
      <family val="2"/>
      <charset val="1"/>
    </font>
    <font>
      <b val="true"/>
      <sz val="11"/>
      <color rgb="FF003366"/>
      <name val="Calibri"/>
      <family val="2"/>
      <charset val="1"/>
    </font>
    <font>
      <b val="true"/>
      <sz val="10"/>
      <name val="Arial"/>
      <family val="0"/>
      <charset val="1"/>
    </font>
    <font>
      <b val="true"/>
      <sz val="10"/>
      <name val="Arial"/>
      <family val="2"/>
      <charset val="1"/>
    </font>
    <font>
      <b val="true"/>
      <sz val="9"/>
      <name val="Arial"/>
      <family val="0"/>
      <charset val="1"/>
    </font>
    <font>
      <sz val="8.5"/>
      <name val="Arial"/>
      <family val="0"/>
      <charset val="1"/>
    </font>
    <font>
      <u val="single"/>
      <sz val="10"/>
      <color rgb="FF0000FF"/>
      <name val="Arial"/>
      <family val="2"/>
      <charset val="1"/>
    </font>
    <font>
      <sz val="11"/>
      <color rgb="FF333399"/>
      <name val="Calibri"/>
      <family val="2"/>
      <charset val="1"/>
    </font>
    <font>
      <sz val="11"/>
      <color rgb="FFFF9900"/>
      <name val="Calibri"/>
      <family val="2"/>
      <charset val="1"/>
    </font>
    <font>
      <sz val="11"/>
      <color rgb="FF993300"/>
      <name val="Calibri"/>
      <family val="2"/>
      <charset val="1"/>
    </font>
    <font>
      <sz val="18"/>
      <name val="P-AVGARD"/>
      <family val="0"/>
      <charset val="1"/>
    </font>
    <font>
      <b val="true"/>
      <sz val="11"/>
      <color rgb="FF333333"/>
      <name val="Calibri"/>
      <family val="2"/>
      <charset val="1"/>
    </font>
    <font>
      <sz val="8"/>
      <name val="Arial"/>
      <family val="0"/>
      <charset val="1"/>
    </font>
    <font>
      <sz val="12"/>
      <name val="Arial"/>
      <family val="2"/>
      <charset val="1"/>
    </font>
    <font>
      <sz val="8"/>
      <name val="Arial"/>
      <family val="2"/>
      <charset val="1"/>
    </font>
    <font>
      <b val="true"/>
      <sz val="12"/>
      <color rgb="FF0066CC"/>
      <name val="Calibri"/>
      <family val="2"/>
      <charset val="1"/>
    </font>
    <font>
      <b val="true"/>
      <sz val="18"/>
      <color rgb="FF003366"/>
      <name val="Cambria"/>
      <family val="2"/>
      <charset val="1"/>
    </font>
    <font>
      <b val="true"/>
      <sz val="14"/>
      <name val="Arial"/>
      <family val="0"/>
      <charset val="1"/>
    </font>
    <font>
      <b val="true"/>
      <sz val="11"/>
      <color rgb="FF000000"/>
      <name val="Calibri"/>
      <family val="2"/>
      <charset val="1"/>
    </font>
    <font>
      <sz val="11"/>
      <color rgb="FFFF0000"/>
      <name val="Calibri"/>
      <family val="2"/>
      <charset val="1"/>
    </font>
    <font>
      <b val="true"/>
      <sz val="11"/>
      <color theme="1"/>
      <name val="Calibri"/>
      <family val="2"/>
      <charset val="1"/>
    </font>
    <font>
      <u val="single"/>
      <sz val="11"/>
      <color theme="10"/>
      <name val="Calibri"/>
      <family val="2"/>
      <charset val="1"/>
    </font>
    <font>
      <i val="true"/>
      <sz val="11"/>
      <color theme="1"/>
      <name val="Calibri"/>
      <family val="2"/>
      <charset val="1"/>
    </font>
    <font>
      <sz val="11"/>
      <color theme="0"/>
      <name val="Calibri"/>
      <family val="2"/>
      <charset val="1"/>
    </font>
    <font>
      <sz val="11"/>
      <name val="Calibri"/>
      <family val="2"/>
      <charset val="1"/>
    </font>
    <font>
      <sz val="16"/>
      <name val="Calibri"/>
      <family val="2"/>
      <charset val="1"/>
    </font>
    <font>
      <sz val="16"/>
      <color theme="1"/>
      <name val="Calibri"/>
      <family val="2"/>
      <charset val="1"/>
    </font>
    <font>
      <b val="true"/>
      <sz val="13"/>
      <name val="Calibri"/>
      <family val="0"/>
      <charset val="1"/>
    </font>
    <font>
      <b val="true"/>
      <sz val="11"/>
      <name val="Calibri"/>
      <family val="0"/>
      <charset val="1"/>
    </font>
    <font>
      <sz val="11"/>
      <color rgb="FF0000FF"/>
      <name val="Calibri"/>
      <family val="0"/>
      <charset val="1"/>
    </font>
    <font>
      <sz val="11"/>
      <name val="Calibri"/>
      <family val="0"/>
      <charset val="1"/>
    </font>
    <font>
      <sz val="11"/>
      <color rgb="FF008000"/>
      <name val="Calibri"/>
      <family val="0"/>
      <charset val="1"/>
    </font>
  </fonts>
  <fills count="31">
    <fill>
      <patternFill patternType="none"/>
    </fill>
    <fill>
      <patternFill patternType="gray125"/>
    </fill>
    <fill>
      <patternFill patternType="solid">
        <fgColor rgb="FFCCCCFF"/>
        <bgColor rgb="FFC6D9F1"/>
      </patternFill>
    </fill>
    <fill>
      <patternFill patternType="solid">
        <fgColor rgb="FFFF99CC"/>
        <bgColor rgb="FFFF8080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FF99CC"/>
      </patternFill>
    </fill>
    <fill>
      <patternFill patternType="solid">
        <fgColor rgb="FFCCFFFF"/>
        <bgColor rgb="FFCCFFCC"/>
      </patternFill>
    </fill>
    <fill>
      <patternFill patternType="solid">
        <fgColor rgb="FFFFCC99"/>
        <bgColor rgb="FFC0C0C0"/>
      </patternFill>
    </fill>
    <fill>
      <patternFill patternType="solid">
        <fgColor rgb="FF99CCFF"/>
        <bgColor rgb="FFC6D9F1"/>
      </patternFill>
    </fill>
    <fill>
      <patternFill patternType="solid">
        <fgColor rgb="FFFF8080"/>
        <bgColor rgb="FFFF99CC"/>
      </patternFill>
    </fill>
    <fill>
      <patternFill patternType="solid">
        <fgColor rgb="FF00FF00"/>
        <bgColor rgb="FF33CCCC"/>
      </patternFill>
    </fill>
    <fill>
      <patternFill patternType="solid">
        <fgColor rgb="FFFFCC00"/>
        <bgColor rgb="FFFFFF00"/>
      </patternFill>
    </fill>
    <fill>
      <patternFill patternType="solid">
        <fgColor rgb="FF0066CC"/>
        <bgColor rgb="FF3366FF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96D7"/>
      </patternFill>
    </fill>
    <fill>
      <patternFill patternType="solid">
        <fgColor rgb="FFFF9900"/>
        <bgColor rgb="FFFFCC00"/>
      </patternFill>
    </fill>
    <fill>
      <patternFill patternType="solid">
        <fgColor rgb="FF333399"/>
        <bgColor rgb="FF1F497D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96D7"/>
      </patternFill>
    </fill>
    <fill>
      <patternFill patternType="solid">
        <fgColor rgb="FFFF6600"/>
        <bgColor rgb="FFFF9900"/>
      </patternFill>
    </fill>
    <fill>
      <patternFill patternType="solid">
        <fgColor rgb="FFC0C0C0"/>
        <bgColor rgb="FFBFBFBF"/>
      </patternFill>
    </fill>
    <fill>
      <patternFill patternType="solid">
        <fgColor rgb="FF969696"/>
        <bgColor rgb="FFA6A6A6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FFFFF"/>
      </patternFill>
    </fill>
    <fill>
      <patternFill patternType="solid">
        <fgColor theme="0" tint="-0.25"/>
        <bgColor rgb="FFC0C0C0"/>
      </patternFill>
    </fill>
    <fill>
      <patternFill patternType="solid">
        <fgColor theme="3"/>
        <bgColor rgb="FF333399"/>
      </patternFill>
    </fill>
    <fill>
      <patternFill patternType="solid">
        <fgColor theme="4" tint="0.7999"/>
        <bgColor rgb="FFD9E1F2"/>
      </patternFill>
    </fill>
    <fill>
      <patternFill patternType="solid">
        <fgColor theme="3" tint="0.7999"/>
        <bgColor rgb="FFCCCCFF"/>
      </patternFill>
    </fill>
    <fill>
      <patternFill patternType="solid">
        <fgColor theme="0" tint="-0.35"/>
        <bgColor rgb="FFB2B2B2"/>
      </patternFill>
    </fill>
    <fill>
      <patternFill patternType="solid">
        <fgColor rgb="FFD9E1F2"/>
        <bgColor rgb="FFDCE6F2"/>
      </patternFill>
    </fill>
    <fill>
      <patternFill patternType="solid">
        <fgColor rgb="FFFFFF00"/>
        <bgColor rgb="FFFFCC00"/>
      </patternFill>
    </fill>
  </fills>
  <borders count="18">
    <border diagonalUp="false" diagonalDown="false">
      <left/>
      <right/>
      <top/>
      <bottom/>
      <diagonal/>
    </border>
    <border diagonalUp="false" diagonalDown="false">
      <left/>
      <right/>
      <top/>
      <bottom style="dashed">
        <color rgb="FFBFBFBF"/>
      </bottom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 diagonalUp="false" diagonalDown="false">
      <left/>
      <right/>
      <top/>
      <bottom style="thin">
        <color rgb="FFC0C0C0"/>
      </bottom>
      <diagonal/>
    </border>
    <border diagonalUp="false" diagonalDown="false">
      <left/>
      <right/>
      <top style="medium">
        <color rgb="FF0096D7"/>
      </top>
      <bottom/>
      <diagonal/>
    </border>
    <border diagonalUp="false" diagonalDown="false">
      <left/>
      <right/>
      <top/>
      <bottom style="thick">
        <color rgb="FF0096D7"/>
      </bottom>
      <diagonal/>
    </border>
    <border diagonalUp="false" diagonalDown="false">
      <left/>
      <right/>
      <top/>
      <bottom style="thick">
        <color rgb="FF333399"/>
      </bottom>
      <diagonal/>
    </border>
    <border diagonalUp="false" diagonalDown="false">
      <left/>
      <right/>
      <top/>
      <bottom style="thick">
        <color rgb="FFC0C0C0"/>
      </bottom>
      <diagonal/>
    </border>
    <border diagonalUp="false" diagonalDown="false">
      <left/>
      <right/>
      <top/>
      <bottom style="medium">
        <color rgb="FF0066CC"/>
      </bottom>
      <diagonal/>
    </border>
    <border diagonalUp="false" diagonalDown="false">
      <left/>
      <right/>
      <top/>
      <bottom style="hair"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/>
      <bottom style="double">
        <color rgb="FFFF9900"/>
      </bottom>
      <diagonal/>
    </border>
    <border diagonalUp="false" diagonalDown="false"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/>
      <right/>
      <top/>
      <bottom style="thin">
        <color rgb="FFBFBFBF"/>
      </bottom>
      <diagonal/>
    </border>
    <border diagonalUp="false" diagonalDown="false">
      <left/>
      <right/>
      <top style="thin">
        <color rgb="FF333399"/>
      </top>
      <bottom style="double">
        <color rgb="FF333399"/>
      </bottom>
      <diagonal/>
    </border>
  </borders>
  <cellStyleXfs count="17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7" fillId="0" borderId="1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8" fillId="20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1" borderId="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" fillId="0" borderId="4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" fillId="0" borderId="4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14" fillId="0" borderId="4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9" fontId="10" fillId="0" borderId="4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7" fontId="13" fillId="0" borderId="4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5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7" fillId="0" borderId="5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6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6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7" fillId="0" borderId="6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8" fillId="0" borderId="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8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4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22" fillId="0" borderId="4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23" fillId="0" borderId="1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24" fillId="0" borderId="4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3" fillId="0" borderId="4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1" fillId="0" borderId="4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21" fillId="20" border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9" fontId="21" fillId="20" borderId="11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1" fillId="20" border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5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64" fontId="26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7" fillId="0" borderId="1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8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3" borderId="1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23" borderId="1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0" fillId="20" border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16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7" fillId="0" borderId="16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70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14" fillId="0" border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0" fillId="0" border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1" fillId="0" border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9" fontId="31" fillId="0" border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0" border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32" fillId="0" border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31" fillId="0" border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33" fillId="0" border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9" fontId="14" fillId="0" border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9" fontId="10" fillId="0" borderId="4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14" fillId="0" border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23" fillId="20" border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3" fillId="0" borderId="1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4" fillId="0" border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34" fillId="0" border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3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3" fillId="0" border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3" fillId="0" border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37" fillId="0" border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14" fillId="0" borderId="4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23" fillId="0" borderId="1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9" fontId="31" fillId="0" borderId="4" applyFont="true" applyBorder="true" applyAlignment="true" applyProtection="true">
      <alignment horizontal="left" vertical="bottom" textRotation="0" wrapText="false" indent="0" shrinkToFit="false"/>
      <protection locked="true" hidden="false"/>
    </xf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9" fillId="2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9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0" fillId="0" borderId="0" xfId="131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2" fillId="2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6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3" fillId="2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27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7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0" fillId="0" borderId="0" xfId="13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4" fillId="28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4" fontId="45" fillId="2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2" fillId="2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13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7" fillId="2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5" fontId="4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8" fillId="3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4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5" fontId="4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7" fillId="29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76" fontId="4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48" fillId="3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5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4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9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77" fontId="0" fillId="0" borderId="0" xfId="130" applyFont="fals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15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20% - Accent1 2" xfId="20"/>
    <cellStyle name="20% - Accent2 2" xfId="21"/>
    <cellStyle name="20% - Accent3 2" xfId="22"/>
    <cellStyle name="20% - Accent4 2" xfId="23"/>
    <cellStyle name="20% - Accent5 2" xfId="24"/>
    <cellStyle name="20% - Accent6 2" xfId="25"/>
    <cellStyle name="40% - Accent1 2" xfId="26"/>
    <cellStyle name="40% - Accent2 2" xfId="27"/>
    <cellStyle name="40% - Accent3 2" xfId="28"/>
    <cellStyle name="40% - Accent4 2" xfId="29"/>
    <cellStyle name="40% - Accent5 2" xfId="30"/>
    <cellStyle name="40% - Accent6 2" xfId="31"/>
    <cellStyle name="60% - Accent1 2" xfId="32"/>
    <cellStyle name="60% - Accent2 2" xfId="33"/>
    <cellStyle name="60% - Accent3 2" xfId="34"/>
    <cellStyle name="60% - Accent4 2" xfId="35"/>
    <cellStyle name="60% - Accent5 2" xfId="36"/>
    <cellStyle name="60% - Accent6 2" xfId="37"/>
    <cellStyle name="Accent1 2" xfId="38"/>
    <cellStyle name="Accent2 2" xfId="39"/>
    <cellStyle name="Accent3 2" xfId="40"/>
    <cellStyle name="Accent4 2" xfId="41"/>
    <cellStyle name="Accent5 2" xfId="42"/>
    <cellStyle name="Accent6 2" xfId="43"/>
    <cellStyle name="Bad 2" xfId="44"/>
    <cellStyle name="Body: normal cell" xfId="45"/>
    <cellStyle name="Body: normal cell 2" xfId="46"/>
    <cellStyle name="Calculation 2" xfId="47"/>
    <cellStyle name="Check Cell 2" xfId="48"/>
    <cellStyle name="Column heading" xfId="49"/>
    <cellStyle name="Comma 2" xfId="50"/>
    <cellStyle name="Comma 2 2" xfId="51"/>
    <cellStyle name="Comma 3" xfId="52"/>
    <cellStyle name="Comma 4" xfId="53"/>
    <cellStyle name="Comma 5" xfId="54"/>
    <cellStyle name="Comma 6" xfId="55"/>
    <cellStyle name="Comma 7" xfId="56"/>
    <cellStyle name="Comma 8" xfId="57"/>
    <cellStyle name="Corner heading" xfId="58"/>
    <cellStyle name="Currency 2" xfId="59"/>
    <cellStyle name="Currency 3" xfId="60"/>
    <cellStyle name="Currency 3 2" xfId="61"/>
    <cellStyle name="Data" xfId="62"/>
    <cellStyle name="Data 2" xfId="63"/>
    <cellStyle name="Data no deci" xfId="64"/>
    <cellStyle name="Data Superscript" xfId="65"/>
    <cellStyle name="Data_1-1A-Regular" xfId="66"/>
    <cellStyle name="Explanatory Text 2" xfId="67"/>
    <cellStyle name="Font: Calibri, 9pt regular" xfId="68"/>
    <cellStyle name="Font: Calibri, 9pt regular 2" xfId="69"/>
    <cellStyle name="Footnotes: top row" xfId="70"/>
    <cellStyle name="Footnotes: top row 2" xfId="71"/>
    <cellStyle name="Good 2" xfId="72"/>
    <cellStyle name="Header: bottom row" xfId="73"/>
    <cellStyle name="Header: bottom row 2" xfId="74"/>
    <cellStyle name="Heading 1 2" xfId="75"/>
    <cellStyle name="Heading 2 2" xfId="76"/>
    <cellStyle name="Heading 3 2" xfId="77"/>
    <cellStyle name="Heading 4 2" xfId="78"/>
    <cellStyle name="Hed Side" xfId="79"/>
    <cellStyle name="Hed Side 2" xfId="80"/>
    <cellStyle name="Hed Side bold" xfId="81"/>
    <cellStyle name="Hed Side Indent" xfId="82"/>
    <cellStyle name="Hed Side Regular" xfId="83"/>
    <cellStyle name="Hed Side_1-1A-Regular" xfId="84"/>
    <cellStyle name="Hed Top" xfId="85"/>
    <cellStyle name="Hed Top - SECTION" xfId="86"/>
    <cellStyle name="Hed Top_3-new4" xfId="87"/>
    <cellStyle name="Hyperlink 2" xfId="88"/>
    <cellStyle name="Input 2" xfId="89"/>
    <cellStyle name="Linked Cell 2" xfId="90"/>
    <cellStyle name="Neutral 2" xfId="91"/>
    <cellStyle name="Normal 10" xfId="92"/>
    <cellStyle name="Normal 11" xfId="93"/>
    <cellStyle name="Normal 2" xfId="94"/>
    <cellStyle name="Normal 2 2" xfId="95"/>
    <cellStyle name="Normal 2 3" xfId="96"/>
    <cellStyle name="Normal 3" xfId="97"/>
    <cellStyle name="Normal 3 2" xfId="98"/>
    <cellStyle name="Normal 3 2 2" xfId="99"/>
    <cellStyle name="Normal 3 2 2 2" xfId="100"/>
    <cellStyle name="Normal 3 2 3" xfId="101"/>
    <cellStyle name="Normal 3 3" xfId="102"/>
    <cellStyle name="Normal 3 3 2" xfId="103"/>
    <cellStyle name="Normal 3 3 2 2" xfId="104"/>
    <cellStyle name="Normal 3 3 3" xfId="105"/>
    <cellStyle name="Normal 3 4" xfId="106"/>
    <cellStyle name="Normal 3 4 2" xfId="107"/>
    <cellStyle name="Normal 3 5" xfId="108"/>
    <cellStyle name="Normal 3 6" xfId="109"/>
    <cellStyle name="Normal 3 7" xfId="110"/>
    <cellStyle name="Normal 4" xfId="111"/>
    <cellStyle name="Normal 4 2" xfId="112"/>
    <cellStyle name="Normal 4 2 2" xfId="113"/>
    <cellStyle name="Normal 4 2 2 2" xfId="114"/>
    <cellStyle name="Normal 4 2 3" xfId="115"/>
    <cellStyle name="Normal 4 3" xfId="116"/>
    <cellStyle name="Normal 4 3 2" xfId="117"/>
    <cellStyle name="Normal 4 3 2 2" xfId="118"/>
    <cellStyle name="Normal 4 3 3" xfId="119"/>
    <cellStyle name="Normal 4 4" xfId="120"/>
    <cellStyle name="Normal 4 4 2" xfId="121"/>
    <cellStyle name="Normal 4 5" xfId="122"/>
    <cellStyle name="Normal 4 6" xfId="123"/>
    <cellStyle name="Normal 4 7" xfId="124"/>
    <cellStyle name="Normal 5" xfId="125"/>
    <cellStyle name="Normal 5 2" xfId="126"/>
    <cellStyle name="Normal 5 3" xfId="127"/>
    <cellStyle name="Normal 6" xfId="128"/>
    <cellStyle name="Normal 6 2" xfId="129"/>
    <cellStyle name="Normal 7" xfId="130"/>
    <cellStyle name="Normal 7 2" xfId="131"/>
    <cellStyle name="Normal 8" xfId="132"/>
    <cellStyle name="Normal 9" xfId="133"/>
    <cellStyle name="Note 2" xfId="134"/>
    <cellStyle name="Note 2 2" xfId="135"/>
    <cellStyle name="Output 2" xfId="136"/>
    <cellStyle name="Parent row" xfId="137"/>
    <cellStyle name="Parent row 2" xfId="138"/>
    <cellStyle name="Percent 2" xfId="139"/>
    <cellStyle name="Percent 2 2" xfId="140"/>
    <cellStyle name="Percent 3" xfId="141"/>
    <cellStyle name="Percent 3 2" xfId="142"/>
    <cellStyle name="Percent 4" xfId="143"/>
    <cellStyle name="Reference" xfId="144"/>
    <cellStyle name="Row heading" xfId="145"/>
    <cellStyle name="Source Hed" xfId="146"/>
    <cellStyle name="Source Letter" xfId="147"/>
    <cellStyle name="Source Superscript" xfId="148"/>
    <cellStyle name="Source Superscript 2" xfId="149"/>
    <cellStyle name="Source Text" xfId="150"/>
    <cellStyle name="Source Text 2" xfId="151"/>
    <cellStyle name="State" xfId="152"/>
    <cellStyle name="Superscript" xfId="153"/>
    <cellStyle name="Table Data" xfId="154"/>
    <cellStyle name="Table Head Top" xfId="155"/>
    <cellStyle name="Table Hed Side" xfId="156"/>
    <cellStyle name="Table title" xfId="157"/>
    <cellStyle name="Table title 2" xfId="158"/>
    <cellStyle name="Title 2" xfId="159"/>
    <cellStyle name="Title Text" xfId="160"/>
    <cellStyle name="Title Text 1" xfId="161"/>
    <cellStyle name="Title Text 2" xfId="162"/>
    <cellStyle name="Title-1" xfId="163"/>
    <cellStyle name="Title-2" xfId="164"/>
    <cellStyle name="Title-3" xfId="165"/>
    <cellStyle name="Total 2" xfId="166"/>
    <cellStyle name="Warning Text 2" xfId="167"/>
    <cellStyle name="Wrap" xfId="168"/>
    <cellStyle name="Wrap Bold" xfId="169"/>
    <cellStyle name="Wrap Title" xfId="170"/>
    <cellStyle name="Wrap_NTS99-~11" xfId="171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96D7"/>
      <rgbColor rgb="FFC0C0C0"/>
      <rgbColor rgb="FF808080"/>
      <rgbColor rgb="FFA6A6A6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D9E1F2"/>
      <rgbColor rgb="FF00FFFF"/>
      <rgbColor rgb="FF800080"/>
      <rgbColor rgb="FF800000"/>
      <rgbColor rgb="FF1F497D"/>
      <rgbColor rgb="FF0000FF"/>
      <rgbColor rgb="FFC6D9F1"/>
      <rgbColor rgb="FFDCE6F2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B2B2B2"/>
      <rgbColor rgb="FFFFCC00"/>
      <rgbColor rgb="FFFF9900"/>
      <rgbColor rgb="FFFF6600"/>
      <rgbColor rgb="FFBFBFBF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</xdr:row>
      <xdr:rowOff>47520</xdr:rowOff>
    </xdr:from>
    <xdr:to>
      <xdr:col>11</xdr:col>
      <xdr:colOff>511200</xdr:colOff>
      <xdr:row>10</xdr:row>
      <xdr:rowOff>144360</xdr:rowOff>
    </xdr:to>
    <xdr:pic>
      <xdr:nvPicPr>
        <xdr:cNvPr id="0" name="Picture 1" descr=""/>
        <xdr:cNvPicPr/>
      </xdr:nvPicPr>
      <xdr:blipFill>
        <a:blip r:embed="rId1"/>
        <a:stretch/>
      </xdr:blipFill>
      <xdr:spPr>
        <a:xfrm>
          <a:off x="0" y="428400"/>
          <a:ext cx="7356600" cy="1621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</xdr:row>
      <xdr:rowOff>19080</xdr:rowOff>
    </xdr:from>
    <xdr:to>
      <xdr:col>9</xdr:col>
      <xdr:colOff>492480</xdr:colOff>
      <xdr:row>10</xdr:row>
      <xdr:rowOff>82440</xdr:rowOff>
    </xdr:to>
    <xdr:pic>
      <xdr:nvPicPr>
        <xdr:cNvPr id="1" name="Picture 1" descr=""/>
        <xdr:cNvPicPr/>
      </xdr:nvPicPr>
      <xdr:blipFill>
        <a:blip r:embed="rId1"/>
        <a:stretch/>
      </xdr:blipFill>
      <xdr:spPr>
        <a:xfrm>
          <a:off x="0" y="399960"/>
          <a:ext cx="6093360" cy="158760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mctic.gov.br/mctic/export/sites/institucional/ciencia/SEPED/clima/arquivos/projeto_opcoes_mitigacao/publicacoes/Setor-Transportes.pdf" TargetMode="External"/><Relationship Id="rId2" Type="http://schemas.openxmlformats.org/officeDocument/2006/relationships/hyperlink" Target="https://www.mctic.gov.br/mctic/export/sites/institucional/ciencia/SEPED/clima/arquivos/projeto_opcoes_mitigacao/publicacoes/Setor-Transportes.pdf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5"/>
  <sheetViews>
    <sheetView showFormulas="false" showGridLines="true" showRowColHeaders="true" showZeros="true" rightToLeft="false" tabSelected="false" showOutlineSymbols="true" defaultGridColor="true" view="normal" topLeftCell="A13" colorId="64" zoomScale="90" zoomScaleNormal="90" zoomScalePageLayoutView="100" workbookViewId="0">
      <selection pane="topLeft" activeCell="A28" activeCellId="0" sqref="A28"/>
    </sheetView>
  </sheetViews>
  <sheetFormatPr defaultColWidth="8.83203125" defaultRowHeight="15" zeroHeight="false" outlineLevelRow="0" outlineLevelCol="0"/>
  <cols>
    <col collapsed="false" customWidth="true" hidden="false" outlineLevel="0" max="1" min="1" style="1" width="13.5"/>
    <col collapsed="false" customWidth="true" hidden="false" outlineLevel="0" max="2" min="2" style="1" width="107.5"/>
  </cols>
  <sheetData>
    <row r="1" customFormat="false" ht="15" hidden="false" customHeight="true" outlineLevel="0" collapsed="false">
      <c r="A1" s="2" t="s">
        <v>0</v>
      </c>
    </row>
    <row r="3" customFormat="false" ht="15" hidden="false" customHeight="true" outlineLevel="0" collapsed="false">
      <c r="A3" s="2" t="s">
        <v>1</v>
      </c>
      <c r="B3" s="3" t="s">
        <v>2</v>
      </c>
    </row>
    <row r="4" customFormat="false" ht="15" hidden="false" customHeight="true" outlineLevel="0" collapsed="false">
      <c r="B4" s="1" t="s">
        <v>3</v>
      </c>
    </row>
    <row r="5" s="4" customFormat="true" ht="15" hidden="false" customHeight="true" outlineLevel="0" collapsed="false">
      <c r="B5" s="5" t="n">
        <v>2017</v>
      </c>
    </row>
    <row r="6" customFormat="false" ht="15" hidden="false" customHeight="true" outlineLevel="0" collapsed="false">
      <c r="B6" s="1" t="s">
        <v>4</v>
      </c>
    </row>
    <row r="7" customFormat="false" ht="15" hidden="false" customHeight="true" outlineLevel="0" collapsed="false">
      <c r="B7" s="1" t="s">
        <v>5</v>
      </c>
    </row>
    <row r="8" customFormat="false" ht="15" hidden="false" customHeight="true" outlineLevel="0" collapsed="false">
      <c r="B8" s="6" t="s">
        <v>6</v>
      </c>
    </row>
    <row r="9" customFormat="false" ht="15" hidden="false" customHeight="true" outlineLevel="0" collapsed="false">
      <c r="B9" s="1" t="s">
        <v>7</v>
      </c>
    </row>
    <row r="10" customFormat="false" ht="15" hidden="false" customHeight="true" outlineLevel="0" collapsed="false">
      <c r="B10" s="1" t="s">
        <v>8</v>
      </c>
    </row>
    <row r="12" customFormat="false" ht="15" hidden="false" customHeight="true" outlineLevel="0" collapsed="false">
      <c r="B12" s="3" t="s">
        <v>9</v>
      </c>
    </row>
    <row r="13" s="7" customFormat="true" ht="15" hidden="false" customHeight="true" outlineLevel="0" collapsed="false">
      <c r="B13" s="7" t="s">
        <v>3</v>
      </c>
    </row>
    <row r="14" customFormat="false" ht="15" hidden="false" customHeight="true" outlineLevel="0" collapsed="false">
      <c r="B14" s="5" t="n">
        <v>2017</v>
      </c>
    </row>
    <row r="15" customFormat="false" ht="15" hidden="false" customHeight="true" outlineLevel="0" collapsed="false">
      <c r="B15" s="1" t="s">
        <v>4</v>
      </c>
    </row>
    <row r="16" customFormat="false" ht="15" hidden="false" customHeight="true" outlineLevel="0" collapsed="false">
      <c r="B16" s="1" t="s">
        <v>5</v>
      </c>
    </row>
    <row r="17" customFormat="false" ht="15" hidden="false" customHeight="true" outlineLevel="0" collapsed="false">
      <c r="B17" s="6" t="s">
        <v>6</v>
      </c>
    </row>
    <row r="18" customFormat="false" ht="15" hidden="false" customHeight="true" outlineLevel="0" collapsed="false">
      <c r="B18" s="1" t="s">
        <v>10</v>
      </c>
    </row>
    <row r="19" customFormat="false" ht="15" hidden="false" customHeight="true" outlineLevel="0" collapsed="false">
      <c r="B19" s="1" t="s">
        <v>11</v>
      </c>
    </row>
    <row r="20" s="8" customFormat="true" ht="15" hidden="false" customHeight="true" outlineLevel="0" collapsed="false"/>
    <row r="23" customFormat="false" ht="15" hidden="false" customHeight="true" outlineLevel="0" collapsed="false">
      <c r="A23" s="2" t="s">
        <v>12</v>
      </c>
    </row>
    <row r="24" customFormat="false" ht="15" hidden="false" customHeight="true" outlineLevel="0" collapsed="false">
      <c r="A24" s="1" t="s">
        <v>13</v>
      </c>
    </row>
    <row r="25" customFormat="false" ht="15" hidden="false" customHeight="true" outlineLevel="0" collapsed="false">
      <c r="A25" s="1" t="s">
        <v>14</v>
      </c>
    </row>
    <row r="26" customFormat="false" ht="15" hidden="false" customHeight="true" outlineLevel="0" collapsed="false">
      <c r="A26" s="1" t="s">
        <v>15</v>
      </c>
    </row>
    <row r="28" customFormat="false" ht="15" hidden="false" customHeight="true" outlineLevel="0" collapsed="false">
      <c r="A28" s="1" t="s">
        <v>16</v>
      </c>
    </row>
    <row r="65" customFormat="false" ht="15" hidden="false" customHeight="true" outlineLevel="0" collapsed="false">
      <c r="B65" s="5"/>
    </row>
  </sheetData>
  <hyperlinks>
    <hyperlink ref="B8" r:id="rId1" display="https://www.mctic.gov.br/mctic/export/sites/institucional/ciencia/SEPED/clima/arquivos/projeto_opcoes_mitigacao/publicacoes/Setor-Transportes.pdf"/>
    <hyperlink ref="B17" r:id="rId2" display="https://www.mctic.gov.br/mctic/export/sites/institucional/ciencia/SEPED/clima/arquivos/projeto_opcoes_mitigacao/publicacoes/Setor-Transportes.pdf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3203125" defaultRowHeight="15" zeroHeight="false" outlineLevelRow="0" outlineLevelCol="0"/>
  <sheetData>
    <row r="1" customFormat="false" ht="15" hidden="false" customHeight="true" outlineLevel="0" collapsed="false">
      <c r="A1" s="1" t="s">
        <v>10</v>
      </c>
    </row>
    <row r="2" customFormat="false" ht="15" hidden="false" customHeight="true" outlineLevel="0" collapsed="false">
      <c r="A2" s="1" t="s">
        <v>11</v>
      </c>
    </row>
    <row r="5" customFormat="false" ht="15" hidden="false" customHeight="true" outlineLevel="0" collapsed="false">
      <c r="M5" s="9" t="s">
        <v>17</v>
      </c>
    </row>
    <row r="7" customFormat="false" ht="15" hidden="false" customHeight="true" outlineLevel="0" collapsed="false">
      <c r="M7" s="1" t="s">
        <v>18</v>
      </c>
    </row>
    <row r="8" customFormat="false" ht="15" hidden="false" customHeight="true" outlineLevel="0" collapsed="false">
      <c r="M8" s="1" t="s">
        <v>19</v>
      </c>
    </row>
    <row r="9" customFormat="false" ht="15" hidden="false" customHeight="true" outlineLevel="0" collapsed="false">
      <c r="M9" s="1" t="s">
        <v>20</v>
      </c>
    </row>
    <row r="10" customFormat="false" ht="15" hidden="false" customHeight="true" outlineLevel="0" collapsed="false">
      <c r="M10" s="1" t="s">
        <v>21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O7" activeCellId="0" sqref="O7"/>
    </sheetView>
  </sheetViews>
  <sheetFormatPr defaultColWidth="8.83203125" defaultRowHeight="15" zeroHeight="false" outlineLevelRow="0" outlineLevelCol="0"/>
  <sheetData>
    <row r="1" customFormat="false" ht="15" hidden="false" customHeight="true" outlineLevel="0" collapsed="false">
      <c r="A1" s="1" t="s">
        <v>7</v>
      </c>
    </row>
    <row r="2" customFormat="false" ht="15" hidden="false" customHeight="true" outlineLevel="0" collapsed="false">
      <c r="A2" s="1" t="s">
        <v>8</v>
      </c>
    </row>
    <row r="5" customFormat="false" ht="15" hidden="false" customHeight="true" outlineLevel="0" collapsed="false">
      <c r="K5" s="9" t="s">
        <v>17</v>
      </c>
    </row>
    <row r="7" customFormat="false" ht="15" hidden="false" customHeight="true" outlineLevel="0" collapsed="false">
      <c r="K7" s="1" t="s">
        <v>18</v>
      </c>
    </row>
    <row r="8" customFormat="false" ht="15" hidden="false" customHeight="true" outlineLevel="0" collapsed="false">
      <c r="K8" s="1" t="s">
        <v>19</v>
      </c>
    </row>
    <row r="9" customFormat="false" ht="15" hidden="false" customHeight="true" outlineLevel="0" collapsed="false">
      <c r="K9" s="1" t="s">
        <v>20</v>
      </c>
    </row>
    <row r="10" customFormat="false" ht="15" hidden="false" customHeight="true" outlineLevel="0" collapsed="false">
      <c r="K10" s="1" t="s">
        <v>21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K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0" activeCellId="0" sqref="F10"/>
    </sheetView>
  </sheetViews>
  <sheetFormatPr defaultColWidth="8.83203125" defaultRowHeight="15" zeroHeight="false" outlineLevelRow="0" outlineLevelCol="0"/>
  <cols>
    <col collapsed="false" customWidth="true" hidden="false" outlineLevel="0" max="1" min="1" style="1" width="51.83"/>
    <col collapsed="false" customWidth="true" hidden="false" outlineLevel="0" max="4" min="2" style="1" width="12.16"/>
    <col collapsed="false" customWidth="true" hidden="false" outlineLevel="0" max="37" min="5" style="1" width="12.83"/>
  </cols>
  <sheetData>
    <row r="1" customFormat="false" ht="15" hidden="false" customHeight="true" outlineLevel="0" collapsed="false">
      <c r="A1" s="1" t="s">
        <v>12</v>
      </c>
    </row>
    <row r="2" customFormat="false" ht="15" hidden="false" customHeight="true" outlineLevel="0" collapsed="false">
      <c r="A2" s="1" t="s">
        <v>22</v>
      </c>
    </row>
    <row r="4" customFormat="false" ht="15" hidden="false" customHeight="true" outlineLevel="0" collapsed="false">
      <c r="A4" s="2" t="s">
        <v>23</v>
      </c>
    </row>
    <row r="5" customFormat="false" ht="15" hidden="false" customHeight="true" outlineLevel="0" collapsed="false">
      <c r="A5" s="7" t="s">
        <v>24</v>
      </c>
    </row>
    <row r="6" customFormat="false" ht="15" hidden="false" customHeight="true" outlineLevel="0" collapsed="false">
      <c r="A6" s="7"/>
    </row>
    <row r="7" customFormat="false" ht="15" hidden="false" customHeight="true" outlineLevel="0" collapsed="false">
      <c r="A7" s="10" t="s">
        <v>25</v>
      </c>
    </row>
    <row r="9" customFormat="false" ht="15" hidden="false" customHeight="true" outlineLevel="0" collapsed="false">
      <c r="A9" s="10" t="s">
        <v>26</v>
      </c>
      <c r="B9" s="11" t="n">
        <v>2015</v>
      </c>
      <c r="C9" s="11" t="n">
        <v>2016</v>
      </c>
      <c r="D9" s="11" t="n">
        <v>2017</v>
      </c>
      <c r="E9" s="11" t="n">
        <v>2018</v>
      </c>
      <c r="F9" s="11" t="n">
        <v>2019</v>
      </c>
      <c r="G9" s="11" t="n">
        <v>2020</v>
      </c>
      <c r="H9" s="11" t="n">
        <v>2021</v>
      </c>
      <c r="I9" s="11" t="n">
        <v>2022</v>
      </c>
      <c r="J9" s="11" t="n">
        <v>2023</v>
      </c>
      <c r="K9" s="11" t="n">
        <v>2024</v>
      </c>
      <c r="L9" s="11" t="n">
        <v>2025</v>
      </c>
      <c r="M9" s="11" t="n">
        <v>2026</v>
      </c>
      <c r="N9" s="11" t="n">
        <v>2027</v>
      </c>
      <c r="O9" s="11" t="n">
        <v>2028</v>
      </c>
      <c r="P9" s="11" t="n">
        <v>2029</v>
      </c>
      <c r="Q9" s="11" t="n">
        <v>2030</v>
      </c>
      <c r="R9" s="11" t="n">
        <v>2031</v>
      </c>
      <c r="S9" s="11" t="n">
        <v>2032</v>
      </c>
      <c r="T9" s="11" t="n">
        <v>2033</v>
      </c>
      <c r="U9" s="11" t="n">
        <v>2034</v>
      </c>
      <c r="V9" s="11" t="n">
        <v>2035</v>
      </c>
      <c r="W9" s="11" t="n">
        <v>2036</v>
      </c>
      <c r="X9" s="11" t="n">
        <v>2037</v>
      </c>
      <c r="Y9" s="11" t="n">
        <v>2038</v>
      </c>
      <c r="Z9" s="11" t="n">
        <v>2039</v>
      </c>
      <c r="AA9" s="11" t="n">
        <v>2040</v>
      </c>
      <c r="AB9" s="11" t="n">
        <v>2041</v>
      </c>
      <c r="AC9" s="11" t="n">
        <v>2042</v>
      </c>
      <c r="AD9" s="11" t="n">
        <v>2043</v>
      </c>
      <c r="AE9" s="11" t="n">
        <v>2044</v>
      </c>
      <c r="AF9" s="11" t="n">
        <v>2045</v>
      </c>
      <c r="AG9" s="11" t="n">
        <v>2046</v>
      </c>
      <c r="AH9" s="11" t="n">
        <v>2047</v>
      </c>
      <c r="AI9" s="11" t="n">
        <v>2048</v>
      </c>
      <c r="AJ9" s="11" t="n">
        <v>2049</v>
      </c>
      <c r="AK9" s="11" t="n">
        <v>2050</v>
      </c>
    </row>
    <row r="10" customFormat="false" ht="15" hidden="false" customHeight="true" outlineLevel="0" collapsed="false">
      <c r="A10" s="1" t="s">
        <v>27</v>
      </c>
      <c r="B10" s="12" t="n">
        <v>155949668.1</v>
      </c>
      <c r="C10" s="12" t="n">
        <v>141915393.6</v>
      </c>
      <c r="D10" s="12" t="n">
        <v>129341020.5</v>
      </c>
      <c r="E10" s="12" t="n">
        <v>118223125.5</v>
      </c>
      <c r="F10" s="12" t="n">
        <v>108532873.8</v>
      </c>
      <c r="G10" s="12" t="n">
        <v>99937994.01704</v>
      </c>
      <c r="H10" s="12" t="n">
        <v>92429653.97808</v>
      </c>
      <c r="I10" s="12" t="n">
        <v>85918692.6996</v>
      </c>
      <c r="J10" s="12" t="n">
        <v>80294255.81552</v>
      </c>
      <c r="K10" s="12" t="n">
        <v>75465954.8412</v>
      </c>
      <c r="L10" s="12" t="n">
        <v>71293199.5512</v>
      </c>
      <c r="M10" s="12" t="n">
        <v>67649223.16136</v>
      </c>
      <c r="N10" s="12" t="n">
        <v>64441495.34128</v>
      </c>
      <c r="O10" s="12" t="n">
        <v>61596560.93208</v>
      </c>
      <c r="P10" s="12" t="n">
        <v>59008926.108</v>
      </c>
      <c r="Q10" s="12" t="n">
        <v>56718972.85664</v>
      </c>
      <c r="R10" s="12" t="n">
        <v>54801460.70688</v>
      </c>
      <c r="S10" s="12" t="n">
        <v>53215845.74656</v>
      </c>
      <c r="T10" s="12" t="n">
        <v>51909775.03888</v>
      </c>
      <c r="U10" s="12" t="n">
        <v>50834817.3144</v>
      </c>
      <c r="V10" s="12" t="n">
        <v>49938013.54</v>
      </c>
      <c r="W10" s="12" t="n">
        <v>49154289.73424</v>
      </c>
      <c r="X10" s="12" t="n">
        <v>48444077.72784</v>
      </c>
      <c r="Y10" s="12" t="n">
        <v>47793660.98352</v>
      </c>
      <c r="Z10" s="12" t="n">
        <v>47196501.2968</v>
      </c>
      <c r="AA10" s="12" t="n">
        <v>46645585.21296</v>
      </c>
      <c r="AB10" s="12" t="n">
        <v>46138142.02672</v>
      </c>
      <c r="AC10" s="12" t="n">
        <v>45674344.65208</v>
      </c>
      <c r="AD10" s="12" t="n">
        <v>45244423.51488</v>
      </c>
      <c r="AE10" s="12" t="n">
        <v>44842302.238</v>
      </c>
      <c r="AF10" s="12" t="n">
        <v>44463341.41376</v>
      </c>
      <c r="AG10" s="12" t="n">
        <v>44103800.35776</v>
      </c>
      <c r="AH10" s="12" t="n">
        <v>43762906.7144</v>
      </c>
      <c r="AI10" s="12" t="n">
        <v>43438374.69848</v>
      </c>
      <c r="AJ10" s="12" t="n">
        <v>43125195.5232</v>
      </c>
      <c r="AK10" s="12" t="n">
        <v>43142734.2096</v>
      </c>
    </row>
    <row r="11" customFormat="false" ht="15" hidden="false" customHeight="true" outlineLevel="0" collapsed="false">
      <c r="A11" s="1" t="s">
        <v>28</v>
      </c>
      <c r="B11" s="12" t="n">
        <v>6130059.6</v>
      </c>
      <c r="C11" s="12" t="n">
        <v>5087778</v>
      </c>
      <c r="D11" s="12" t="n">
        <v>4230501.3</v>
      </c>
      <c r="E11" s="12" t="n">
        <v>3515907.9</v>
      </c>
      <c r="F11" s="12" t="n">
        <v>2933752.8</v>
      </c>
      <c r="G11" s="12" t="n">
        <v>2454735.3</v>
      </c>
      <c r="H11" s="12" t="n">
        <v>2044452.3</v>
      </c>
      <c r="I11" s="12" t="n">
        <v>1699957.8</v>
      </c>
      <c r="J11" s="12" t="n">
        <v>1415754.3</v>
      </c>
      <c r="K11" s="12" t="n">
        <v>1188215.7</v>
      </c>
      <c r="L11" s="12" t="n">
        <v>1000861.2</v>
      </c>
      <c r="M11" s="12" t="n">
        <v>841634.1</v>
      </c>
      <c r="N11" s="12" t="n">
        <v>705092.4</v>
      </c>
      <c r="O11" s="12" t="n">
        <v>588173.1</v>
      </c>
      <c r="P11" s="12" t="n">
        <v>488486.1</v>
      </c>
      <c r="Q11" s="12" t="n">
        <v>404499.9</v>
      </c>
      <c r="R11" s="12" t="n">
        <v>334050.9</v>
      </c>
      <c r="S11" s="12" t="n">
        <v>275634.6</v>
      </c>
      <c r="T11" s="12" t="n">
        <v>229869.9</v>
      </c>
      <c r="U11" s="12" t="n">
        <v>193548.3</v>
      </c>
      <c r="V11" s="12" t="n">
        <v>166298.4</v>
      </c>
      <c r="W11" s="12" t="n">
        <v>143178.3</v>
      </c>
      <c r="X11" s="12" t="n">
        <v>123942.3</v>
      </c>
      <c r="Y11" s="12" t="n">
        <v>106416.6</v>
      </c>
      <c r="Z11" s="12" t="n">
        <v>88369.5</v>
      </c>
      <c r="AA11" s="12" t="n">
        <v>72892.5</v>
      </c>
      <c r="AB11" s="12" t="n">
        <v>58755</v>
      </c>
      <c r="AC11" s="12" t="n">
        <v>46065</v>
      </c>
      <c r="AD11" s="12" t="n">
        <v>36939</v>
      </c>
      <c r="AE11" s="12" t="n">
        <v>28098</v>
      </c>
      <c r="AF11" s="12" t="n">
        <v>21606</v>
      </c>
      <c r="AG11" s="12" t="n">
        <v>18267</v>
      </c>
      <c r="AH11" s="12" t="n">
        <v>14853</v>
      </c>
      <c r="AI11" s="12" t="n">
        <v>11574</v>
      </c>
      <c r="AJ11" s="12" t="n">
        <v>8172</v>
      </c>
      <c r="AK11" s="12" t="n">
        <v>6132</v>
      </c>
    </row>
    <row r="12" customFormat="false" ht="15" hidden="false" customHeight="true" outlineLevel="0" collapsed="false">
      <c r="A12" s="1" t="s">
        <v>29</v>
      </c>
      <c r="B12" s="12" t="n">
        <v>574565097</v>
      </c>
      <c r="C12" s="12" t="n">
        <v>631565408.1</v>
      </c>
      <c r="D12" s="12" t="n">
        <v>687490254.3</v>
      </c>
      <c r="E12" s="12" t="n">
        <v>742265134.8</v>
      </c>
      <c r="F12" s="12" t="n">
        <v>795867915.9</v>
      </c>
      <c r="G12" s="12" t="n">
        <v>844442354.95704</v>
      </c>
      <c r="H12" s="12" t="n">
        <v>890898584.2504</v>
      </c>
      <c r="I12" s="12" t="n">
        <v>935595650.33712</v>
      </c>
      <c r="J12" s="12" t="n">
        <v>978657030.43952</v>
      </c>
      <c r="K12" s="12" t="n">
        <v>1020219742.2632</v>
      </c>
      <c r="L12" s="12" t="n">
        <v>1059065396.7864</v>
      </c>
      <c r="M12" s="12" t="n">
        <v>1094128068.1348</v>
      </c>
      <c r="N12" s="12" t="n">
        <v>1125688465.04912</v>
      </c>
      <c r="O12" s="12" t="n">
        <v>1153968446.44536</v>
      </c>
      <c r="P12" s="12" t="n">
        <v>1179185798.7608</v>
      </c>
      <c r="Q12" s="12" t="n">
        <v>1201763890.6184</v>
      </c>
      <c r="R12" s="12" t="n">
        <v>1219543909.5984</v>
      </c>
      <c r="S12" s="12" t="n">
        <v>1230323659.10176</v>
      </c>
      <c r="T12" s="12" t="n">
        <v>1234440201.53648</v>
      </c>
      <c r="U12" s="12" t="n">
        <v>1232242829.838</v>
      </c>
      <c r="V12" s="12" t="n">
        <v>1223669947.37328</v>
      </c>
      <c r="W12" s="12" t="n">
        <v>1208775254.4252</v>
      </c>
      <c r="X12" s="12" t="n">
        <v>1188109990.83936</v>
      </c>
      <c r="Y12" s="12" t="n">
        <v>1162209469.54704</v>
      </c>
      <c r="Z12" s="12" t="n">
        <v>1131583893.9768</v>
      </c>
      <c r="AA12" s="12" t="n">
        <v>1096412531.9328</v>
      </c>
      <c r="AB12" s="12" t="n">
        <v>1056880113.43792</v>
      </c>
      <c r="AC12" s="12" t="n">
        <v>1013468173.97608</v>
      </c>
      <c r="AD12" s="12" t="n">
        <v>966666587.63184</v>
      </c>
      <c r="AE12" s="12" t="n">
        <v>916892466.874</v>
      </c>
      <c r="AF12" s="12" t="n">
        <v>864572889.91264</v>
      </c>
      <c r="AG12" s="12" t="n">
        <v>810106422.63</v>
      </c>
      <c r="AH12" s="12" t="n">
        <v>753864350.76848</v>
      </c>
      <c r="AI12" s="12" t="n">
        <v>696186204.06776</v>
      </c>
      <c r="AJ12" s="12" t="n">
        <v>637379807.088</v>
      </c>
      <c r="AK12" s="12" t="n">
        <v>584844513.6528</v>
      </c>
    </row>
    <row r="13" customFormat="false" ht="15" hidden="false" customHeight="true" outlineLevel="0" collapsed="false">
      <c r="A13" s="1" t="s">
        <v>30</v>
      </c>
      <c r="B13" s="12" t="n">
        <v>0</v>
      </c>
      <c r="C13" s="12" t="n">
        <v>0</v>
      </c>
      <c r="D13" s="12" t="n">
        <v>0</v>
      </c>
      <c r="E13" s="12" t="n">
        <v>0</v>
      </c>
      <c r="F13" s="12" t="n">
        <v>0</v>
      </c>
      <c r="G13" s="12" t="n">
        <v>276856.468</v>
      </c>
      <c r="H13" s="12" t="n">
        <v>1104915.94176</v>
      </c>
      <c r="I13" s="12" t="n">
        <v>2498225.4972</v>
      </c>
      <c r="J13" s="12" t="n">
        <v>4467913.68304</v>
      </c>
      <c r="K13" s="12" t="n">
        <v>7022038.9112</v>
      </c>
      <c r="L13" s="12" t="n">
        <v>10121336.61504</v>
      </c>
      <c r="M13" s="12" t="n">
        <v>13713207.51592</v>
      </c>
      <c r="N13" s="12" t="n">
        <v>17771849.9512</v>
      </c>
      <c r="O13" s="12" t="n">
        <v>22267610.16216</v>
      </c>
      <c r="P13" s="12" t="n">
        <v>27169041.9968</v>
      </c>
      <c r="Q13" s="12" t="n">
        <v>32117032.41864</v>
      </c>
      <c r="R13" s="12" t="n">
        <v>39371282.78112</v>
      </c>
      <c r="S13" s="12" t="n">
        <v>51342258.84984</v>
      </c>
      <c r="T13" s="12" t="n">
        <v>67862132.14784</v>
      </c>
      <c r="U13" s="12" t="n">
        <v>88749078.7896</v>
      </c>
      <c r="V13" s="12" t="n">
        <v>113656160.2832</v>
      </c>
      <c r="W13" s="12" t="n">
        <v>142188429.77496</v>
      </c>
      <c r="X13" s="12" t="n">
        <v>174045569.68896</v>
      </c>
      <c r="Y13" s="12" t="n">
        <v>208918170.13888</v>
      </c>
      <c r="Z13" s="12" t="n">
        <v>246492249.0296</v>
      </c>
      <c r="AA13" s="12" t="n">
        <v>286453434.43728</v>
      </c>
      <c r="AB13" s="12" t="n">
        <v>328491926.58176</v>
      </c>
      <c r="AC13" s="12" t="n">
        <v>372307025.19184</v>
      </c>
      <c r="AD13" s="12" t="n">
        <v>417610403.51472</v>
      </c>
      <c r="AE13" s="12" t="n">
        <v>464130159.114</v>
      </c>
      <c r="AF13" s="12" t="n">
        <v>511613696.73216</v>
      </c>
      <c r="AG13" s="12" t="n">
        <v>559829213.09112</v>
      </c>
      <c r="AH13" s="12" t="n">
        <v>608566647.64864</v>
      </c>
      <c r="AI13" s="12" t="n">
        <v>657637474.11664</v>
      </c>
      <c r="AJ13" s="12" t="n">
        <v>706874312.7216</v>
      </c>
      <c r="AK13" s="12" t="n">
        <v>759410125.416</v>
      </c>
    </row>
    <row r="14" customFormat="false" ht="15" hidden="false" customHeight="true" outlineLevel="0" collapsed="false">
      <c r="A14" s="1" t="s">
        <v>31</v>
      </c>
      <c r="B14" s="12" t="n">
        <v>0</v>
      </c>
      <c r="C14" s="12" t="n">
        <v>0</v>
      </c>
      <c r="D14" s="12" t="n">
        <v>0</v>
      </c>
      <c r="E14" s="12" t="n">
        <v>0</v>
      </c>
      <c r="F14" s="12" t="n">
        <v>0</v>
      </c>
      <c r="G14" s="12" t="n">
        <v>0</v>
      </c>
      <c r="H14" s="12" t="n">
        <v>0</v>
      </c>
      <c r="I14" s="12" t="n">
        <v>0</v>
      </c>
      <c r="J14" s="12" t="n">
        <v>0</v>
      </c>
      <c r="K14" s="12" t="n">
        <v>0</v>
      </c>
      <c r="L14" s="12" t="n">
        <v>0</v>
      </c>
      <c r="M14" s="12" t="n">
        <v>0</v>
      </c>
      <c r="N14" s="12" t="n">
        <v>0</v>
      </c>
      <c r="O14" s="12" t="n">
        <v>0</v>
      </c>
      <c r="P14" s="12" t="n">
        <v>0</v>
      </c>
      <c r="Q14" s="12" t="n">
        <v>0</v>
      </c>
      <c r="R14" s="12" t="n">
        <v>0</v>
      </c>
      <c r="S14" s="12" t="n">
        <v>0</v>
      </c>
      <c r="T14" s="12" t="n">
        <v>0</v>
      </c>
      <c r="U14" s="12" t="n">
        <v>0</v>
      </c>
      <c r="V14" s="12" t="n">
        <v>0</v>
      </c>
      <c r="W14" s="12" t="n">
        <v>0</v>
      </c>
      <c r="X14" s="12" t="n">
        <v>0</v>
      </c>
      <c r="Y14" s="12" t="n">
        <v>0</v>
      </c>
      <c r="Z14" s="12" t="n">
        <v>0</v>
      </c>
      <c r="AA14" s="12" t="n">
        <v>0</v>
      </c>
      <c r="AB14" s="12" t="n">
        <v>0</v>
      </c>
      <c r="AC14" s="12" t="n">
        <v>0</v>
      </c>
      <c r="AD14" s="12" t="n">
        <v>0</v>
      </c>
      <c r="AE14" s="12" t="n">
        <v>0</v>
      </c>
      <c r="AF14" s="12" t="n">
        <v>0</v>
      </c>
      <c r="AG14" s="12" t="n">
        <v>0</v>
      </c>
      <c r="AH14" s="12" t="n">
        <v>0</v>
      </c>
      <c r="AI14" s="12" t="n">
        <v>0</v>
      </c>
      <c r="AJ14" s="12" t="n">
        <v>0</v>
      </c>
      <c r="AK14" s="12" t="n">
        <v>0</v>
      </c>
    </row>
    <row r="15" customFormat="false" ht="15" hidden="false" customHeight="true" outlineLevel="0" collapsed="false">
      <c r="A15" s="1" t="s">
        <v>32</v>
      </c>
      <c r="B15" s="12" t="n">
        <v>0</v>
      </c>
      <c r="C15" s="12" t="n">
        <v>0</v>
      </c>
      <c r="D15" s="12" t="n">
        <v>0</v>
      </c>
      <c r="E15" s="12" t="n">
        <v>0</v>
      </c>
      <c r="F15" s="12" t="n">
        <v>0</v>
      </c>
      <c r="G15" s="12" t="n">
        <v>0</v>
      </c>
      <c r="H15" s="12" t="n">
        <v>0</v>
      </c>
      <c r="I15" s="12" t="n">
        <v>0</v>
      </c>
      <c r="J15" s="12" t="n">
        <v>0</v>
      </c>
      <c r="K15" s="12" t="n">
        <v>0</v>
      </c>
      <c r="L15" s="12" t="n">
        <v>0</v>
      </c>
      <c r="M15" s="12" t="n">
        <v>0</v>
      </c>
      <c r="N15" s="12" t="n">
        <v>0</v>
      </c>
      <c r="O15" s="12" t="n">
        <v>0</v>
      </c>
      <c r="P15" s="12" t="n">
        <v>0</v>
      </c>
      <c r="Q15" s="12" t="n">
        <v>0</v>
      </c>
      <c r="R15" s="12" t="n">
        <v>0</v>
      </c>
      <c r="S15" s="12" t="n">
        <v>0</v>
      </c>
      <c r="T15" s="12" t="n">
        <v>0</v>
      </c>
      <c r="U15" s="12" t="n">
        <v>0</v>
      </c>
      <c r="V15" s="12" t="n">
        <v>0</v>
      </c>
      <c r="W15" s="12" t="n">
        <v>0</v>
      </c>
      <c r="X15" s="12" t="n">
        <v>0</v>
      </c>
      <c r="Y15" s="12" t="n">
        <v>0</v>
      </c>
      <c r="Z15" s="12" t="n">
        <v>0</v>
      </c>
      <c r="AA15" s="12" t="n">
        <v>324596.052</v>
      </c>
      <c r="AB15" s="12" t="n">
        <v>1269504.3648</v>
      </c>
      <c r="AC15" s="12" t="n">
        <v>2801792.77664</v>
      </c>
      <c r="AD15" s="12" t="n">
        <v>4887374.2008</v>
      </c>
      <c r="AE15" s="12" t="n">
        <v>7490490.734</v>
      </c>
      <c r="AF15" s="12" t="n">
        <v>10573869.15584</v>
      </c>
      <c r="AG15" s="12" t="n">
        <v>14098549.3236</v>
      </c>
      <c r="AH15" s="12" t="n">
        <v>18024199.50144</v>
      </c>
      <c r="AI15" s="12" t="n">
        <v>22309766.44592</v>
      </c>
      <c r="AJ15" s="12" t="n">
        <v>26913871.1232</v>
      </c>
      <c r="AK15" s="12" t="n">
        <v>31726403.6256</v>
      </c>
    </row>
    <row r="16" customFormat="false" ht="15" hidden="false" customHeight="true" outlineLevel="0" collapsed="false">
      <c r="A16" s="1" t="s">
        <v>33</v>
      </c>
      <c r="B16" s="12" t="n">
        <v>32151214.8</v>
      </c>
      <c r="C16" s="12" t="n">
        <v>32823251.4</v>
      </c>
      <c r="D16" s="12" t="n">
        <v>33556900.2</v>
      </c>
      <c r="E16" s="12" t="n">
        <v>34344129</v>
      </c>
      <c r="F16" s="12" t="n">
        <v>35178063.6</v>
      </c>
      <c r="G16" s="12" t="n">
        <v>36053602.8</v>
      </c>
      <c r="H16" s="12" t="n">
        <v>36974020.8</v>
      </c>
      <c r="I16" s="12" t="n">
        <v>37940622.6</v>
      </c>
      <c r="J16" s="12" t="n">
        <v>38947877.7</v>
      </c>
      <c r="K16" s="12" t="n">
        <v>39992504.7</v>
      </c>
      <c r="L16" s="12" t="n">
        <v>41071686</v>
      </c>
      <c r="M16" s="12" t="n">
        <v>42188505.3</v>
      </c>
      <c r="N16" s="12" t="n">
        <v>43344378.6</v>
      </c>
      <c r="O16" s="12" t="n">
        <v>44534798.4</v>
      </c>
      <c r="P16" s="12" t="n">
        <v>45753200.7</v>
      </c>
      <c r="Q16" s="12" t="n">
        <v>46993901.7</v>
      </c>
      <c r="R16" s="12" t="n">
        <v>48258322.5</v>
      </c>
      <c r="S16" s="12" t="n">
        <v>49546288.8</v>
      </c>
      <c r="T16" s="12" t="n">
        <v>50854176</v>
      </c>
      <c r="U16" s="12" t="n">
        <v>52180121.7</v>
      </c>
      <c r="V16" s="12" t="n">
        <v>53522406</v>
      </c>
      <c r="W16" s="12" t="n">
        <v>54879973.8</v>
      </c>
      <c r="X16" s="12" t="n">
        <v>56251542.3</v>
      </c>
      <c r="Y16" s="12" t="n">
        <v>57635941.2</v>
      </c>
      <c r="Z16" s="12" t="n">
        <v>59033533.5</v>
      </c>
      <c r="AA16" s="12" t="n">
        <v>60443508.9</v>
      </c>
      <c r="AB16" s="12" t="n">
        <v>61867048.5</v>
      </c>
      <c r="AC16" s="12" t="n">
        <v>63304038.3</v>
      </c>
      <c r="AD16" s="12" t="n">
        <v>64750875.6</v>
      </c>
      <c r="AE16" s="12" t="n">
        <v>66206248.8</v>
      </c>
      <c r="AF16" s="12" t="n">
        <v>67668918.9</v>
      </c>
      <c r="AG16" s="12" t="n">
        <v>69138061.5</v>
      </c>
      <c r="AH16" s="12" t="n">
        <v>70612980.9</v>
      </c>
      <c r="AI16" s="12" t="n">
        <v>72093146.4</v>
      </c>
      <c r="AJ16" s="12" t="n">
        <v>73577604.9</v>
      </c>
      <c r="AK16" s="12" t="n">
        <v>75065821.8</v>
      </c>
    </row>
    <row r="17" customFormat="false" ht="15" hidden="false" customHeight="true" outlineLevel="0" collapsed="false">
      <c r="A17" s="1" t="s">
        <v>34</v>
      </c>
      <c r="B17" s="12" t="n">
        <v>519455.1</v>
      </c>
      <c r="C17" s="12" t="n">
        <v>420980.4</v>
      </c>
      <c r="D17" s="12" t="n">
        <v>341046.6</v>
      </c>
      <c r="E17" s="12" t="n">
        <v>276529.2</v>
      </c>
      <c r="F17" s="12" t="n">
        <v>225327.9</v>
      </c>
      <c r="G17" s="12" t="n">
        <v>184343.7</v>
      </c>
      <c r="H17" s="12" t="n">
        <v>150088.5</v>
      </c>
      <c r="I17" s="12" t="n">
        <v>122226.9</v>
      </c>
      <c r="J17" s="12" t="n">
        <v>100064.4</v>
      </c>
      <c r="K17" s="12" t="n">
        <v>83006.1</v>
      </c>
      <c r="L17" s="12" t="n">
        <v>69516.6</v>
      </c>
      <c r="M17" s="12" t="n">
        <v>58359.3</v>
      </c>
      <c r="N17" s="12" t="n">
        <v>48921.6</v>
      </c>
      <c r="O17" s="12" t="n">
        <v>40874.7</v>
      </c>
      <c r="P17" s="12" t="n">
        <v>34074.6</v>
      </c>
      <c r="Q17" s="12" t="n">
        <v>28363.5</v>
      </c>
      <c r="R17" s="12" t="n">
        <v>23547.6</v>
      </c>
      <c r="S17" s="12" t="n">
        <v>19667.7</v>
      </c>
      <c r="T17" s="12" t="n">
        <v>16769.1</v>
      </c>
      <c r="U17" s="12" t="n">
        <v>14407.2</v>
      </c>
      <c r="V17" s="12" t="n">
        <v>12438.6</v>
      </c>
      <c r="W17" s="12" t="n">
        <v>10741.5</v>
      </c>
      <c r="X17" s="12" t="n">
        <v>9300</v>
      </c>
      <c r="Y17" s="12" t="n">
        <v>7983.6</v>
      </c>
      <c r="Z17" s="12" t="n">
        <v>6754.8</v>
      </c>
      <c r="AA17" s="12" t="n">
        <v>5595</v>
      </c>
      <c r="AB17" s="12" t="n">
        <v>4548</v>
      </c>
      <c r="AC17" s="12" t="n">
        <v>3600</v>
      </c>
      <c r="AD17" s="12" t="n">
        <v>2811</v>
      </c>
      <c r="AE17" s="12" t="n">
        <v>2100</v>
      </c>
      <c r="AF17" s="12" t="n">
        <v>1581</v>
      </c>
      <c r="AG17" s="12" t="n">
        <v>1329</v>
      </c>
      <c r="AH17" s="12" t="n">
        <v>1059</v>
      </c>
      <c r="AI17" s="12" t="n">
        <v>777</v>
      </c>
      <c r="AJ17" s="12" t="n">
        <v>516</v>
      </c>
      <c r="AK17" s="12" t="n">
        <v>339</v>
      </c>
    </row>
    <row r="18" customFormat="false" ht="15" hidden="false" customHeight="true" outlineLevel="0" collapsed="false">
      <c r="A18" s="1" t="s">
        <v>35</v>
      </c>
      <c r="B18" s="12" t="n">
        <v>66482746.5</v>
      </c>
      <c r="C18" s="12" t="n">
        <v>73760488.2</v>
      </c>
      <c r="D18" s="12" t="n">
        <v>80745823.8</v>
      </c>
      <c r="E18" s="12" t="n">
        <v>87429621.9</v>
      </c>
      <c r="F18" s="12" t="n">
        <v>93810674.1</v>
      </c>
      <c r="G18" s="12" t="n">
        <v>99895026.6</v>
      </c>
      <c r="H18" s="12" t="n">
        <v>105717979.8</v>
      </c>
      <c r="I18" s="12" t="n">
        <v>111318126.9</v>
      </c>
      <c r="J18" s="12" t="n">
        <v>116712963.9</v>
      </c>
      <c r="K18" s="12" t="n">
        <v>121921992.6</v>
      </c>
      <c r="L18" s="12" t="n">
        <v>126965361</v>
      </c>
      <c r="M18" s="12" t="n">
        <v>131876754.6</v>
      </c>
      <c r="N18" s="12" t="n">
        <v>136688205.9</v>
      </c>
      <c r="O18" s="12" t="n">
        <v>141416299.2</v>
      </c>
      <c r="P18" s="12" t="n">
        <v>146076010.2</v>
      </c>
      <c r="Q18" s="12" t="n">
        <v>150680496.9</v>
      </c>
      <c r="R18" s="12" t="n">
        <v>155250427.2</v>
      </c>
      <c r="S18" s="12" t="n">
        <v>159803960.4</v>
      </c>
      <c r="T18" s="12" t="n">
        <v>164348484.3</v>
      </c>
      <c r="U18" s="12" t="n">
        <v>168890222.7</v>
      </c>
      <c r="V18" s="12" t="n">
        <v>173435302.2</v>
      </c>
      <c r="W18" s="12" t="n">
        <v>177993186</v>
      </c>
      <c r="X18" s="12" t="n">
        <v>182572739.4</v>
      </c>
      <c r="Y18" s="12" t="n">
        <v>187177364.1</v>
      </c>
      <c r="Z18" s="12" t="n">
        <v>191807709.6</v>
      </c>
      <c r="AA18" s="12" t="n">
        <v>196462865.4</v>
      </c>
      <c r="AB18" s="12" t="n">
        <v>201146108.7</v>
      </c>
      <c r="AC18" s="12" t="n">
        <v>205858192.8</v>
      </c>
      <c r="AD18" s="12" t="n">
        <v>210597833.1</v>
      </c>
      <c r="AE18" s="12" t="n">
        <v>215361417</v>
      </c>
      <c r="AF18" s="12" t="n">
        <v>220146029.7</v>
      </c>
      <c r="AG18" s="12" t="n">
        <v>224949234.6</v>
      </c>
      <c r="AH18" s="12" t="n">
        <v>229768720.2</v>
      </c>
      <c r="AI18" s="12" t="n">
        <v>234602497.2</v>
      </c>
      <c r="AJ18" s="12" t="n">
        <v>239448797.1</v>
      </c>
      <c r="AK18" s="12" t="n">
        <v>244305924.9</v>
      </c>
    </row>
    <row r="19" customFormat="false" ht="15" hidden="false" customHeight="true" outlineLevel="0" collapsed="false">
      <c r="A19" s="1" t="s">
        <v>36</v>
      </c>
      <c r="B19" s="12" t="n">
        <v>47489179.2</v>
      </c>
      <c r="C19" s="12" t="n">
        <v>50793211.8</v>
      </c>
      <c r="D19" s="12" t="n">
        <v>54069864.6</v>
      </c>
      <c r="E19" s="12" t="n">
        <v>57312356.4</v>
      </c>
      <c r="F19" s="12" t="n">
        <v>60516527.4</v>
      </c>
      <c r="G19" s="12" t="n">
        <v>63677721</v>
      </c>
      <c r="H19" s="12" t="n">
        <v>66803359.8</v>
      </c>
      <c r="I19" s="12" t="n">
        <v>69900581.4</v>
      </c>
      <c r="J19" s="12" t="n">
        <v>72968258.4</v>
      </c>
      <c r="K19" s="12" t="n">
        <v>76003784.4</v>
      </c>
      <c r="L19" s="12" t="n">
        <v>79004188.2</v>
      </c>
      <c r="M19" s="12" t="n">
        <v>81978817.8</v>
      </c>
      <c r="N19" s="12" t="n">
        <v>84934541.4</v>
      </c>
      <c r="O19" s="12" t="n">
        <v>87871313.4</v>
      </c>
      <c r="P19" s="12" t="n">
        <v>90790097.4</v>
      </c>
      <c r="Q19" s="12" t="n">
        <v>93694522.2</v>
      </c>
      <c r="R19" s="12" t="n">
        <v>96593386.2</v>
      </c>
      <c r="S19" s="12" t="n">
        <v>99494076.6</v>
      </c>
      <c r="T19" s="12" t="n">
        <v>102399204.6</v>
      </c>
      <c r="U19" s="12" t="n">
        <v>105313020</v>
      </c>
      <c r="V19" s="12" t="n">
        <v>108236693.4</v>
      </c>
      <c r="W19" s="12" t="n">
        <v>111176282.4</v>
      </c>
      <c r="X19" s="12" t="n">
        <v>114136176</v>
      </c>
      <c r="Y19" s="12" t="n">
        <v>117114437.4</v>
      </c>
      <c r="Z19" s="12" t="n">
        <v>120110160</v>
      </c>
      <c r="AA19" s="12" t="n">
        <v>123121878.6</v>
      </c>
      <c r="AB19" s="12" t="n">
        <v>126149958</v>
      </c>
      <c r="AC19" s="12" t="n">
        <v>129194574.6</v>
      </c>
      <c r="AD19" s="12" t="n">
        <v>132254755.2</v>
      </c>
      <c r="AE19" s="12" t="n">
        <v>135328996.8</v>
      </c>
      <c r="AF19" s="12" t="n">
        <v>138416632.2</v>
      </c>
      <c r="AG19" s="12" t="n">
        <v>141516518.4</v>
      </c>
      <c r="AH19" s="12" t="n">
        <v>144627809.4</v>
      </c>
      <c r="AI19" s="12" t="n">
        <v>147749621.4</v>
      </c>
      <c r="AJ19" s="12" t="n">
        <v>150880505.4</v>
      </c>
      <c r="AK19" s="12" t="n">
        <v>154019823.6</v>
      </c>
    </row>
    <row r="20" customFormat="false" ht="15" hidden="false" customHeight="true" outlineLevel="0" collapsed="false">
      <c r="A20" s="1" t="s">
        <v>37</v>
      </c>
      <c r="B20" s="12" t="n">
        <v>110659785.6</v>
      </c>
      <c r="C20" s="12" t="n">
        <v>110436900</v>
      </c>
      <c r="D20" s="12" t="n">
        <v>110842536.4</v>
      </c>
      <c r="E20" s="12" t="n">
        <v>111900978.4</v>
      </c>
      <c r="F20" s="12" t="n">
        <v>113556949.2</v>
      </c>
      <c r="G20" s="12" t="n">
        <v>115877217.2</v>
      </c>
      <c r="H20" s="12" t="n">
        <v>118903698.8</v>
      </c>
      <c r="I20" s="12" t="n">
        <v>122687373.2</v>
      </c>
      <c r="J20" s="12" t="n">
        <v>127210776.8</v>
      </c>
      <c r="K20" s="12" t="n">
        <v>132427308.4</v>
      </c>
      <c r="L20" s="12" t="n">
        <v>137815208.4</v>
      </c>
      <c r="M20" s="12" t="n">
        <v>142940140</v>
      </c>
      <c r="N20" s="12" t="n">
        <v>147817738</v>
      </c>
      <c r="O20" s="12" t="n">
        <v>152454483.6</v>
      </c>
      <c r="P20" s="12" t="n">
        <v>156857168</v>
      </c>
      <c r="Q20" s="12" t="n">
        <v>161033238</v>
      </c>
      <c r="R20" s="12" t="n">
        <v>165004526.8</v>
      </c>
      <c r="S20" s="12" t="n">
        <v>168791361.6</v>
      </c>
      <c r="T20" s="12" t="n">
        <v>172411425.6</v>
      </c>
      <c r="U20" s="12" t="n">
        <v>175888025.6</v>
      </c>
      <c r="V20" s="12" t="n">
        <v>179088830.8</v>
      </c>
      <c r="W20" s="12" t="n">
        <v>181947626.8</v>
      </c>
      <c r="X20" s="12" t="n">
        <v>184487600.8</v>
      </c>
      <c r="Y20" s="12" t="n">
        <v>186731939.2</v>
      </c>
      <c r="Z20" s="12" t="n">
        <v>188714582.8</v>
      </c>
      <c r="AA20" s="12" t="n">
        <v>190465668</v>
      </c>
      <c r="AB20" s="12" t="n">
        <v>192013325.2</v>
      </c>
      <c r="AC20" s="12" t="n">
        <v>193383366.4</v>
      </c>
      <c r="AD20" s="12" t="n">
        <v>194598500.4</v>
      </c>
      <c r="AE20" s="12" t="n">
        <v>195680242</v>
      </c>
      <c r="AF20" s="12" t="n">
        <v>196647111.2</v>
      </c>
      <c r="AG20" s="12" t="n">
        <v>197517108</v>
      </c>
      <c r="AH20" s="12" t="n">
        <v>198306288.8</v>
      </c>
      <c r="AI20" s="12" t="n">
        <v>199028229.6</v>
      </c>
      <c r="AJ20" s="12" t="n">
        <v>199694706.8</v>
      </c>
      <c r="AK20" s="12" t="n">
        <v>200315491.6</v>
      </c>
    </row>
    <row r="21" customFormat="false" ht="15" hidden="false" customHeight="true" outlineLevel="0" collapsed="false">
      <c r="A21" s="1" t="s">
        <v>38</v>
      </c>
      <c r="B21" s="12" t="n">
        <v>40915103.6</v>
      </c>
      <c r="C21" s="12" t="n">
        <v>47493794</v>
      </c>
      <c r="D21" s="12" t="n">
        <v>54036314.8</v>
      </c>
      <c r="E21" s="12" t="n">
        <v>60575635.2</v>
      </c>
      <c r="F21" s="12" t="n">
        <v>67125606.8</v>
      </c>
      <c r="G21" s="12" t="n">
        <v>73665136</v>
      </c>
      <c r="H21" s="12" t="n">
        <v>80278128.4</v>
      </c>
      <c r="I21" s="12" t="n">
        <v>86992800.4</v>
      </c>
      <c r="J21" s="12" t="n">
        <v>93855229.6</v>
      </c>
      <c r="K21" s="12" t="n">
        <v>100886732</v>
      </c>
      <c r="L21" s="12" t="n">
        <v>107694674</v>
      </c>
      <c r="M21" s="12" t="n">
        <v>113949386.4</v>
      </c>
      <c r="N21" s="12" t="n">
        <v>119704274.4</v>
      </c>
      <c r="O21" s="12" t="n">
        <v>125000417.2</v>
      </c>
      <c r="P21" s="12" t="n">
        <v>129875386.8</v>
      </c>
      <c r="Q21" s="12" t="n">
        <v>134363173.6</v>
      </c>
      <c r="R21" s="12" t="n">
        <v>138505223.2</v>
      </c>
      <c r="S21" s="12" t="n">
        <v>142337559.6</v>
      </c>
      <c r="T21" s="12" t="n">
        <v>145888293.6</v>
      </c>
      <c r="U21" s="12" t="n">
        <v>149186209.6</v>
      </c>
      <c r="V21" s="12" t="n">
        <v>152169480.8</v>
      </c>
      <c r="W21" s="12" t="n">
        <v>154796563.2</v>
      </c>
      <c r="X21" s="12" t="n">
        <v>157130788</v>
      </c>
      <c r="Y21" s="12" t="n">
        <v>159196182</v>
      </c>
      <c r="Z21" s="12" t="n">
        <v>161023062</v>
      </c>
      <c r="AA21" s="12" t="n">
        <v>162638387.6</v>
      </c>
      <c r="AB21" s="12" t="n">
        <v>164067749.2</v>
      </c>
      <c r="AC21" s="12" t="n">
        <v>165334549.2</v>
      </c>
      <c r="AD21" s="12" t="n">
        <v>166459440</v>
      </c>
      <c r="AE21" s="12" t="n">
        <v>167461502.8</v>
      </c>
      <c r="AF21" s="12" t="n">
        <v>168357621.2</v>
      </c>
      <c r="AG21" s="12" t="n">
        <v>169163832</v>
      </c>
      <c r="AH21" s="12" t="n">
        <v>169894510.4</v>
      </c>
      <c r="AI21" s="12" t="n">
        <v>170561978.8</v>
      </c>
      <c r="AJ21" s="12" t="n">
        <v>171177023.6</v>
      </c>
      <c r="AK21" s="12" t="n">
        <v>171748966.8</v>
      </c>
    </row>
    <row r="22" customFormat="false" ht="15" hidden="false" customHeight="true" outlineLevel="0" collapsed="false">
      <c r="A22" s="1" t="s">
        <v>39</v>
      </c>
      <c r="B22" s="12" t="n">
        <v>615022316.32</v>
      </c>
      <c r="C22" s="12" t="n">
        <v>642580624.02</v>
      </c>
      <c r="D22" s="12" t="n">
        <v>670421424.14</v>
      </c>
      <c r="E22" s="12" t="n">
        <v>698586790.84</v>
      </c>
      <c r="F22" s="12" t="n">
        <v>726862172.28</v>
      </c>
      <c r="G22" s="12" t="n">
        <v>751998906.007157</v>
      </c>
      <c r="H22" s="12" t="n">
        <v>776471451.256299</v>
      </c>
      <c r="I22" s="12" t="n">
        <v>800500255.914576</v>
      </c>
      <c r="J22" s="12" t="n">
        <v>823945529.592011</v>
      </c>
      <c r="K22" s="12" t="n">
        <v>846717499.22784</v>
      </c>
      <c r="L22" s="12" t="n">
        <v>868812439.62656</v>
      </c>
      <c r="M22" s="12" t="n">
        <v>890171896.943067</v>
      </c>
      <c r="N22" s="12" t="n">
        <v>910975789.614837</v>
      </c>
      <c r="O22" s="12" t="n">
        <v>931288461.124736</v>
      </c>
      <c r="P22" s="12" t="n">
        <v>951098491.572053</v>
      </c>
      <c r="Q22" s="12" t="n">
        <v>970458007.966149</v>
      </c>
      <c r="R22" s="12" t="n">
        <v>989504067.637952</v>
      </c>
      <c r="S22" s="12" t="n">
        <v>1008347394.2153</v>
      </c>
      <c r="T22" s="12" t="n">
        <v>1027128340.63906</v>
      </c>
      <c r="U22" s="12" t="n">
        <v>1045925814.49464</v>
      </c>
      <c r="V22" s="12" t="n">
        <v>1064759424.35884</v>
      </c>
      <c r="W22" s="12" t="n">
        <v>1083561808.71984</v>
      </c>
      <c r="X22" s="12" t="n">
        <v>1102456766.19187</v>
      </c>
      <c r="Y22" s="12" t="n">
        <v>1121533718.54906</v>
      </c>
      <c r="Z22" s="12" t="n">
        <v>1140579645.60176</v>
      </c>
      <c r="AA22" s="12" t="n">
        <v>1159478753.70254</v>
      </c>
      <c r="AB22" s="12" t="n">
        <v>1178197829.26195</v>
      </c>
      <c r="AC22" s="12" t="n">
        <v>1196720807.21429</v>
      </c>
      <c r="AD22" s="12" t="n">
        <v>1215025689.228</v>
      </c>
      <c r="AE22" s="12" t="n">
        <v>1233091080.79453</v>
      </c>
      <c r="AF22" s="12" t="n">
        <v>1250882876.77312</v>
      </c>
      <c r="AG22" s="12" t="n">
        <v>1268393273.76149</v>
      </c>
      <c r="AH22" s="12" t="n">
        <v>1285595388.34307</v>
      </c>
      <c r="AI22" s="12" t="n">
        <v>1302492201.00531</v>
      </c>
      <c r="AJ22" s="12" t="n">
        <v>1319054086.35072</v>
      </c>
      <c r="AK22" s="12" t="n">
        <v>1345392355.98624</v>
      </c>
    </row>
    <row r="23" customFormat="false" ht="15" hidden="false" customHeight="true" outlineLevel="0" collapsed="false">
      <c r="A23" s="1" t="s">
        <v>40</v>
      </c>
      <c r="B23" s="12" t="n">
        <v>69459838.62</v>
      </c>
      <c r="C23" s="12" t="n">
        <v>70615909.65</v>
      </c>
      <c r="D23" s="12" t="n">
        <v>71742618.972</v>
      </c>
      <c r="E23" s="12" t="n">
        <v>72845983.698</v>
      </c>
      <c r="F23" s="12" t="n">
        <v>73937489.304</v>
      </c>
      <c r="G23" s="12" t="n">
        <v>75028677.456</v>
      </c>
      <c r="H23" s="12" t="n">
        <v>76143831.54</v>
      </c>
      <c r="I23" s="12" t="n">
        <v>77307267.252</v>
      </c>
      <c r="J23" s="12" t="n">
        <v>78531307.35</v>
      </c>
      <c r="K23" s="12" t="n">
        <v>79829846.01</v>
      </c>
      <c r="L23" s="12" t="n">
        <v>81216315.264</v>
      </c>
      <c r="M23" s="12" t="n">
        <v>82706784.762</v>
      </c>
      <c r="N23" s="12" t="n">
        <v>84335570.19</v>
      </c>
      <c r="O23" s="12" t="n">
        <v>86090934.168</v>
      </c>
      <c r="P23" s="12" t="n">
        <v>87975423.006</v>
      </c>
      <c r="Q23" s="12" t="n">
        <v>89986550.634</v>
      </c>
      <c r="R23" s="12" t="n">
        <v>92101936.656</v>
      </c>
      <c r="S23" s="12" t="n">
        <v>94297027.23</v>
      </c>
      <c r="T23" s="12" t="n">
        <v>96570440.742</v>
      </c>
      <c r="U23" s="12" t="n">
        <v>98919973.932</v>
      </c>
      <c r="V23" s="12" t="n">
        <v>101348436.468</v>
      </c>
      <c r="W23" s="12" t="n">
        <v>103833195.066</v>
      </c>
      <c r="X23" s="12" t="n">
        <v>106387542.672</v>
      </c>
      <c r="Y23" s="12" t="n">
        <v>108986992.014</v>
      </c>
      <c r="Z23" s="12" t="n">
        <v>111612971.508</v>
      </c>
      <c r="AA23" s="12" t="n">
        <v>114261489.054</v>
      </c>
      <c r="AB23" s="12" t="n">
        <v>116930080.266</v>
      </c>
      <c r="AC23" s="12" t="n">
        <v>119615378.514</v>
      </c>
      <c r="AD23" s="12" t="n">
        <v>122318526.654</v>
      </c>
      <c r="AE23" s="12" t="n">
        <v>125037438.462</v>
      </c>
      <c r="AF23" s="12" t="n">
        <v>127766094.93</v>
      </c>
      <c r="AG23" s="12" t="n">
        <v>130505819.262</v>
      </c>
      <c r="AH23" s="12" t="n">
        <v>133256405.274</v>
      </c>
      <c r="AI23" s="12" t="n">
        <v>136016122.416</v>
      </c>
      <c r="AJ23" s="12" t="n">
        <v>138780133.764</v>
      </c>
      <c r="AK23" s="12" t="n">
        <v>141550517.172</v>
      </c>
    </row>
    <row r="24" customFormat="false" ht="15" hidden="false" customHeight="true" outlineLevel="0" collapsed="false">
      <c r="A24" s="1" t="s">
        <v>41</v>
      </c>
      <c r="B24" s="12" t="n">
        <v>153213269.436</v>
      </c>
      <c r="C24" s="12" t="n">
        <v>159384796.288</v>
      </c>
      <c r="D24" s="12" t="n">
        <v>165643342.288</v>
      </c>
      <c r="E24" s="12" t="n">
        <v>172005973.42</v>
      </c>
      <c r="F24" s="12" t="n">
        <v>178419386.52</v>
      </c>
      <c r="G24" s="12" t="n">
        <v>184912494.756</v>
      </c>
      <c r="H24" s="12" t="n">
        <v>191478520.528</v>
      </c>
      <c r="I24" s="12" t="n">
        <v>198154048.172</v>
      </c>
      <c r="J24" s="12" t="n">
        <v>204913130.344</v>
      </c>
      <c r="K24" s="12" t="n">
        <v>211735691.6</v>
      </c>
      <c r="L24" s="12" t="n">
        <v>218651718.4</v>
      </c>
      <c r="M24" s="12" t="n">
        <v>225629217.276</v>
      </c>
      <c r="N24" s="12" t="n">
        <v>232703057.172</v>
      </c>
      <c r="O24" s="12" t="n">
        <v>239840064.696</v>
      </c>
      <c r="P24" s="12" t="n">
        <v>247059011.584</v>
      </c>
      <c r="Q24" s="12" t="n">
        <v>254340185.34</v>
      </c>
      <c r="R24" s="12" t="n">
        <v>261697863.424</v>
      </c>
      <c r="S24" s="12" t="n">
        <v>269125154.48</v>
      </c>
      <c r="T24" s="12" t="n">
        <v>276635103.912</v>
      </c>
      <c r="U24" s="12" t="n">
        <v>284201134.18</v>
      </c>
      <c r="V24" s="12" t="n">
        <v>291866321.436</v>
      </c>
      <c r="W24" s="12" t="n">
        <v>299579757.252</v>
      </c>
      <c r="X24" s="12" t="n">
        <v>307384082.94</v>
      </c>
      <c r="Y24" s="12" t="n">
        <v>315238628.656</v>
      </c>
      <c r="Z24" s="12" t="n">
        <v>323181524.432</v>
      </c>
      <c r="AA24" s="12" t="n">
        <v>331174188.472</v>
      </c>
      <c r="AB24" s="12" t="n">
        <v>339248142.744</v>
      </c>
      <c r="AC24" s="12" t="n">
        <v>347369698.856</v>
      </c>
      <c r="AD24" s="12" t="n">
        <v>355556856.428</v>
      </c>
      <c r="AE24" s="12" t="n">
        <v>363804312.796</v>
      </c>
      <c r="AF24" s="12" t="n">
        <v>372089524.436</v>
      </c>
      <c r="AG24" s="12" t="n">
        <v>380410386.696</v>
      </c>
      <c r="AH24" s="12" t="n">
        <v>388790936.252</v>
      </c>
      <c r="AI24" s="12" t="n">
        <v>397205866.728</v>
      </c>
      <c r="AJ24" s="12" t="n">
        <v>405662655.788</v>
      </c>
      <c r="AK24" s="12" t="n">
        <v>414151161.44</v>
      </c>
    </row>
    <row r="25" customFormat="false" ht="15" hidden="false" customHeight="true" outlineLevel="0" collapsed="false"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</row>
    <row r="26" customFormat="false" ht="15" hidden="false" customHeight="true" outlineLevel="0" collapsed="false">
      <c r="A26" s="10" t="s">
        <v>42</v>
      </c>
      <c r="B26" s="12"/>
      <c r="C26" s="12"/>
      <c r="D26" s="12" t="n">
        <f aca="false">SUM(D10:D19)</f>
        <v>989775411.3</v>
      </c>
      <c r="E26" s="12" t="n">
        <f aca="false">SUM(E10:E19)</f>
        <v>1043366804.7</v>
      </c>
      <c r="F26" s="12" t="n">
        <f aca="false">SUM(F10:F19)</f>
        <v>1097065135.5</v>
      </c>
      <c r="G26" s="12" t="n">
        <f aca="false">SUM(G10:G19)</f>
        <v>1146922634.84208</v>
      </c>
      <c r="H26" s="12" t="n">
        <f aca="false">SUM(H10:H19)</f>
        <v>1196123055.37024</v>
      </c>
      <c r="I26" s="12" t="n">
        <f aca="false">SUM(I10:I19)</f>
        <v>1244994084.13392</v>
      </c>
      <c r="J26" s="12" t="n">
        <f aca="false">SUM(J10:J19)</f>
        <v>1293564118.63808</v>
      </c>
      <c r="K26" s="12" t="n">
        <f aca="false">SUM(K10:K19)</f>
        <v>1341897239.5156</v>
      </c>
      <c r="L26" s="12" t="n">
        <f aca="false">SUM(L10:L19)</f>
        <v>1388591545.95264</v>
      </c>
      <c r="M26" s="12" t="n">
        <f aca="false">SUM(M10:M19)</f>
        <v>1432434569.91208</v>
      </c>
      <c r="N26" s="12" t="n">
        <f aca="false">SUM(N10:N19)</f>
        <v>1473622950.2416</v>
      </c>
      <c r="O26" s="12" t="n">
        <f aca="false">SUM(O10:O19)</f>
        <v>1512284076.3396</v>
      </c>
      <c r="P26" s="12" t="n">
        <f aca="false">SUM(P10:P19)</f>
        <v>1548505635.8656</v>
      </c>
      <c r="Q26" s="12" t="n">
        <f aca="false">SUM(Q10:Q19)</f>
        <v>1582401680.09368</v>
      </c>
      <c r="R26" s="12" t="n">
        <f aca="false">SUM(R10:R19)</f>
        <v>1614176387.4864</v>
      </c>
      <c r="S26" s="12" t="n">
        <f aca="false">SUM(S10:S19)</f>
        <v>1644021391.79816</v>
      </c>
      <c r="T26" s="12" t="n">
        <f aca="false">SUM(T10:T19)</f>
        <v>1672060612.6232</v>
      </c>
      <c r="U26" s="12" t="n">
        <f aca="false">SUM(U10:U19)</f>
        <v>1698418045.842</v>
      </c>
      <c r="V26" s="12" t="n">
        <f aca="false">SUM(V10:V19)</f>
        <v>1722637259.79648</v>
      </c>
      <c r="W26" s="12" t="n">
        <f aca="false">SUM(W10:W19)</f>
        <v>1744321335.9344</v>
      </c>
      <c r="X26" s="12" t="n">
        <f aca="false">SUM(X10:X19)</f>
        <v>1763693338.25616</v>
      </c>
      <c r="Y26" s="12" t="n">
        <f aca="false">SUM(Y10:Y19)</f>
        <v>1780963443.56944</v>
      </c>
      <c r="Z26" s="12" t="n">
        <f aca="false">SUM(Z10:Z19)</f>
        <v>1796319171.7032</v>
      </c>
      <c r="AA26" s="12" t="n">
        <f aca="false">SUM(AA10:AA19)</f>
        <v>1809942888.03504</v>
      </c>
      <c r="AB26" s="12" t="n">
        <f aca="false">SUM(AB10:AB19)</f>
        <v>1822006104.6112</v>
      </c>
      <c r="AC26" s="12" t="n">
        <f aca="false">SUM(AC10:AC19)</f>
        <v>1832657807.29664</v>
      </c>
      <c r="AD26" s="12" t="n">
        <f aca="false">SUM(AD10:AD19)</f>
        <v>1842052002.76224</v>
      </c>
      <c r="AE26" s="12" t="n">
        <f aca="false">SUM(AE10:AE19)</f>
        <v>1850282279.56</v>
      </c>
      <c r="AF26" s="12" t="n">
        <f aca="false">SUM(AF10:AF19)</f>
        <v>1857478565.0144</v>
      </c>
      <c r="AG26" s="12" t="n">
        <f aca="false">SUM(AG10:AG19)</f>
        <v>1863761395.90248</v>
      </c>
      <c r="AH26" s="12" t="n">
        <f aca="false">SUM(AH10:AH19)</f>
        <v>1869243527.13296</v>
      </c>
      <c r="AI26" s="12" t="n">
        <f aca="false">SUM(AI10:AI19)</f>
        <v>1874029435.3288</v>
      </c>
      <c r="AJ26" s="12" t="n">
        <f aca="false">SUM(AJ10:AJ19)</f>
        <v>1878208781.856</v>
      </c>
      <c r="AK26" s="12" t="n">
        <f aca="false">SUM(AK10:AK19)</f>
        <v>1892521818.204</v>
      </c>
    </row>
    <row r="27" customFormat="false" ht="15" hidden="false" customHeight="true" outlineLevel="0" collapsed="false">
      <c r="A27" s="13" t="s">
        <v>43</v>
      </c>
      <c r="B27" s="14"/>
      <c r="C27" s="14"/>
      <c r="D27" s="14"/>
      <c r="E27" s="14"/>
      <c r="F27" s="14" t="n">
        <v>1</v>
      </c>
      <c r="G27" s="14" t="n">
        <f aca="false">G26/$F$26</f>
        <v>1.04544625266881</v>
      </c>
      <c r="H27" s="14" t="n">
        <f aca="false">H26/$F$26</f>
        <v>1.09029356294792</v>
      </c>
      <c r="I27" s="14" t="n">
        <f aca="false">I26/$F$26</f>
        <v>1.13484062508877</v>
      </c>
      <c r="J27" s="14" t="n">
        <f aca="false">J26/$F$26</f>
        <v>1.1791133240676</v>
      </c>
      <c r="K27" s="14" t="n">
        <f aca="false">K26/$F$26</f>
        <v>1.22317007084909</v>
      </c>
      <c r="L27" s="14" t="n">
        <f aca="false">L26/$F$26</f>
        <v>1.26573300072996</v>
      </c>
      <c r="M27" s="14" t="n">
        <f aca="false">M26/$F$26</f>
        <v>1.30569692132202</v>
      </c>
      <c r="N27" s="14" t="n">
        <f aca="false">N26/$F$26</f>
        <v>1.34324107343907</v>
      </c>
      <c r="O27" s="14" t="n">
        <f aca="false">O26/$F$26</f>
        <v>1.37848157543568</v>
      </c>
      <c r="P27" s="14" t="n">
        <f aca="false">P26/$F$26</f>
        <v>1.41149835662205</v>
      </c>
      <c r="Q27" s="14" t="n">
        <f aca="false">Q26/$F$26</f>
        <v>1.44239537734693</v>
      </c>
      <c r="R27" s="14" t="n">
        <f aca="false">R26/$F$26</f>
        <v>1.47135875095577</v>
      </c>
      <c r="S27" s="14" t="n">
        <f aca="false">S26/$F$26</f>
        <v>1.49856315600521</v>
      </c>
      <c r="T27" s="14" t="n">
        <f aca="false">T26/$F$26</f>
        <v>1.52412154804385</v>
      </c>
      <c r="U27" s="14" t="n">
        <f aca="false">U26/$F$26</f>
        <v>1.54814695215697</v>
      </c>
      <c r="V27" s="14" t="n">
        <f aca="false">V26/$F$26</f>
        <v>1.57022332043336</v>
      </c>
      <c r="W27" s="14" t="n">
        <f aca="false">W26/$F$26</f>
        <v>1.58998885252096</v>
      </c>
      <c r="X27" s="14" t="n">
        <f aca="false">X26/$F$26</f>
        <v>1.60764687636558</v>
      </c>
      <c r="Y27" s="14" t="n">
        <f aca="false">Y26/$F$26</f>
        <v>1.62338897294165</v>
      </c>
      <c r="Z27" s="14" t="n">
        <f aca="false">Z26/$F$26</f>
        <v>1.63738607086853</v>
      </c>
      <c r="AA27" s="14" t="n">
        <f aca="false">AA26/$F$26</f>
        <v>1.64980440036511</v>
      </c>
      <c r="AB27" s="14" t="n">
        <f aca="false">AB26/$F$26</f>
        <v>1.66080029859011</v>
      </c>
      <c r="AC27" s="14" t="n">
        <f aca="false">AC26/$F$26</f>
        <v>1.67050956957208</v>
      </c>
      <c r="AD27" s="14" t="n">
        <f aca="false">AD26/$F$26</f>
        <v>1.67907259391914</v>
      </c>
      <c r="AE27" s="14" t="n">
        <f aca="false">AE26/$F$26</f>
        <v>1.68657467974015</v>
      </c>
      <c r="AF27" s="14" t="n">
        <f aca="false">AF26/$F$26</f>
        <v>1.69313425876745</v>
      </c>
      <c r="AG27" s="14" t="n">
        <f aca="false">AG26/$F$26</f>
        <v>1.69886120303427</v>
      </c>
      <c r="AH27" s="14" t="n">
        <f aca="false">AH26/$F$26</f>
        <v>1.70385829122264</v>
      </c>
      <c r="AI27" s="14" t="n">
        <f aca="false">AI26/$F$26</f>
        <v>1.70822075616749</v>
      </c>
      <c r="AJ27" s="14" t="n">
        <f aca="false">AJ26/$F$26</f>
        <v>1.71203032625769</v>
      </c>
      <c r="AK27" s="14" t="n">
        <f aca="false">AK26/$F$26</f>
        <v>1.72507698673831</v>
      </c>
    </row>
    <row r="28" customFormat="false" ht="15" hidden="false" customHeight="true" outlineLevel="0" collapsed="false">
      <c r="A28" s="10" t="s">
        <v>44</v>
      </c>
      <c r="B28" s="12"/>
      <c r="C28" s="12"/>
      <c r="D28" s="12" t="n">
        <f aca="false">SUM(D22:D24)</f>
        <v>907807385.4</v>
      </c>
      <c r="E28" s="12" t="n">
        <f aca="false">SUM(E22:E24)</f>
        <v>943438747.958</v>
      </c>
      <c r="F28" s="12" t="n">
        <f aca="false">SUM(F22:F24)</f>
        <v>979219048.104</v>
      </c>
      <c r="G28" s="12" t="n">
        <f aca="false">SUM(G22:G24)</f>
        <v>1011940078.21916</v>
      </c>
      <c r="H28" s="12" t="n">
        <f aca="false">SUM(H22:H24)</f>
        <v>1044093803.3243</v>
      </c>
      <c r="I28" s="12" t="n">
        <f aca="false">SUM(I22:I24)</f>
        <v>1075961571.33858</v>
      </c>
      <c r="J28" s="12" t="n">
        <f aca="false">SUM(J22:J24)</f>
        <v>1107389967.28601</v>
      </c>
      <c r="K28" s="12" t="n">
        <f aca="false">SUM(K22:K24)</f>
        <v>1138283036.83784</v>
      </c>
      <c r="L28" s="12" t="n">
        <f aca="false">SUM(L22:L24)</f>
        <v>1168680473.29056</v>
      </c>
      <c r="M28" s="12" t="n">
        <f aca="false">SUM(M22:M24)</f>
        <v>1198507898.98107</v>
      </c>
      <c r="N28" s="12" t="n">
        <f aca="false">SUM(N22:N24)</f>
        <v>1228014416.97684</v>
      </c>
      <c r="O28" s="12" t="n">
        <f aca="false">SUM(O22:O24)</f>
        <v>1257219459.98874</v>
      </c>
      <c r="P28" s="12" t="n">
        <f aca="false">SUM(P22:P24)</f>
        <v>1286132926.16205</v>
      </c>
      <c r="Q28" s="12" t="n">
        <f aca="false">SUM(Q22:Q24)</f>
        <v>1314784743.94015</v>
      </c>
      <c r="R28" s="12" t="n">
        <f aca="false">SUM(R22:R24)</f>
        <v>1343303867.71795</v>
      </c>
      <c r="S28" s="12" t="n">
        <f aca="false">SUM(S22:S24)</f>
        <v>1371769575.9253</v>
      </c>
      <c r="T28" s="12" t="n">
        <f aca="false">SUM(T22:T24)</f>
        <v>1400333885.29306</v>
      </c>
      <c r="U28" s="12" t="n">
        <f aca="false">SUM(U22:U24)</f>
        <v>1429046922.60664</v>
      </c>
      <c r="V28" s="12" t="n">
        <f aca="false">SUM(V22:V24)</f>
        <v>1457974182.26284</v>
      </c>
      <c r="W28" s="12" t="n">
        <f aca="false">SUM(W22:W24)</f>
        <v>1486974761.03784</v>
      </c>
      <c r="X28" s="12" t="n">
        <f aca="false">SUM(X22:X24)</f>
        <v>1516228391.80387</v>
      </c>
      <c r="Y28" s="12" t="n">
        <f aca="false">SUM(Y22:Y24)</f>
        <v>1545759339.21906</v>
      </c>
      <c r="Z28" s="12" t="n">
        <f aca="false">SUM(Z22:Z24)</f>
        <v>1575374141.54176</v>
      </c>
      <c r="AA28" s="12" t="n">
        <f aca="false">SUM(AA22:AA24)</f>
        <v>1604914431.22854</v>
      </c>
      <c r="AB28" s="12" t="n">
        <f aca="false">SUM(AB22:AB24)</f>
        <v>1634376052.27195</v>
      </c>
      <c r="AC28" s="12" t="n">
        <f aca="false">SUM(AC22:AC24)</f>
        <v>1663705884.58429</v>
      </c>
      <c r="AD28" s="12" t="n">
        <f aca="false">SUM(AD22:AD24)</f>
        <v>1692901072.31</v>
      </c>
      <c r="AE28" s="12" t="n">
        <f aca="false">SUM(AE22:AE24)</f>
        <v>1721932832.05253</v>
      </c>
      <c r="AF28" s="12" t="n">
        <f aca="false">SUM(AF22:AF24)</f>
        <v>1750738496.13912</v>
      </c>
      <c r="AG28" s="12" t="n">
        <f aca="false">SUM(AG22:AG24)</f>
        <v>1779309479.71949</v>
      </c>
      <c r="AH28" s="12" t="n">
        <f aca="false">SUM(AH22:AH24)</f>
        <v>1807642729.86907</v>
      </c>
      <c r="AI28" s="12" t="n">
        <f aca="false">SUM(AI22:AI24)</f>
        <v>1835714190.14931</v>
      </c>
      <c r="AJ28" s="12" t="n">
        <f aca="false">SUM(AJ22:AJ24)</f>
        <v>1863496875.90272</v>
      </c>
      <c r="AK28" s="12" t="n">
        <f aca="false">SUM(AK22:AK24)</f>
        <v>1901094034.59824</v>
      </c>
    </row>
    <row r="29" customFormat="false" ht="15" hidden="false" customHeight="true" outlineLevel="0" collapsed="false">
      <c r="A29" s="13" t="s">
        <v>43</v>
      </c>
      <c r="B29" s="14"/>
      <c r="C29" s="14"/>
      <c r="D29" s="14"/>
      <c r="E29" s="14"/>
      <c r="F29" s="14" t="n">
        <v>1</v>
      </c>
      <c r="G29" s="14" t="n">
        <f aca="false">G28/$F$28</f>
        <v>1.03341543465531</v>
      </c>
      <c r="H29" s="14" t="n">
        <f aca="false">H28/$F$28</f>
        <v>1.06625152497382</v>
      </c>
      <c r="I29" s="14" t="n">
        <f aca="false">I28/$F$28</f>
        <v>1.09879558963022</v>
      </c>
      <c r="J29" s="14" t="n">
        <f aca="false">J28/$F$28</f>
        <v>1.13089095788137</v>
      </c>
      <c r="K29" s="14" t="n">
        <f aca="false">K28/$F$28</f>
        <v>1.16243963905913</v>
      </c>
      <c r="L29" s="14" t="n">
        <f aca="false">L28/$F$28</f>
        <v>1.19348216882974</v>
      </c>
      <c r="M29" s="14" t="n">
        <f aca="false">M28/$F$28</f>
        <v>1.22394259108997</v>
      </c>
      <c r="N29" s="14" t="n">
        <f aca="false">N28/$F$28</f>
        <v>1.25407529536375</v>
      </c>
      <c r="O29" s="14" t="n">
        <f aca="false">O28/$F$28</f>
        <v>1.28390012676225</v>
      </c>
      <c r="P29" s="14" t="n">
        <f aca="false">P28/$F$28</f>
        <v>1.31342719348884</v>
      </c>
      <c r="Q29" s="14" t="n">
        <f aca="false">Q28/$F$28</f>
        <v>1.34268705912725</v>
      </c>
      <c r="R29" s="14" t="n">
        <f aca="false">R28/$F$28</f>
        <v>1.37181141473801</v>
      </c>
      <c r="S29" s="14" t="n">
        <f aca="false">S28/$F$28</f>
        <v>1.40088122119496</v>
      </c>
      <c r="T29" s="14" t="n">
        <f aca="false">T28/$F$28</f>
        <v>1.43005172132266</v>
      </c>
      <c r="U29" s="14" t="n">
        <f aca="false">U28/$F$28</f>
        <v>1.45937410569536</v>
      </c>
      <c r="V29" s="14" t="n">
        <f aca="false">V28/$F$28</f>
        <v>1.48891525862964</v>
      </c>
      <c r="W29" s="14" t="n">
        <f aca="false">W28/$F$28</f>
        <v>1.51853128665846</v>
      </c>
      <c r="X29" s="14" t="n">
        <f aca="false">X28/$F$28</f>
        <v>1.54840573693868</v>
      </c>
      <c r="Y29" s="14" t="n">
        <f aca="false">Y28/$F$28</f>
        <v>1.57856338907216</v>
      </c>
      <c r="Z29" s="14" t="n">
        <f aca="false">Z28/$F$28</f>
        <v>1.60880667567901</v>
      </c>
      <c r="AA29" s="14" t="n">
        <f aca="false">AA28/$F$28</f>
        <v>1.63897386834543</v>
      </c>
      <c r="AB29" s="14" t="n">
        <f aca="false">AB28/$F$28</f>
        <v>1.66906072286532</v>
      </c>
      <c r="AC29" s="14" t="n">
        <f aca="false">AC28/$F$28</f>
        <v>1.69901299183836</v>
      </c>
      <c r="AD29" s="14" t="n">
        <f aca="false">AD28/$F$28</f>
        <v>1.72882775880214</v>
      </c>
      <c r="AE29" s="14" t="n">
        <f aca="false">AE28/$F$28</f>
        <v>1.75847562951987</v>
      </c>
      <c r="AF29" s="14" t="n">
        <f aca="false">AF28/$F$28</f>
        <v>1.78789260638768</v>
      </c>
      <c r="AG29" s="14" t="n">
        <f aca="false">AG28/$F$28</f>
        <v>1.81706992236789</v>
      </c>
      <c r="AH29" s="14" t="n">
        <f aca="false">AH28/$F$28</f>
        <v>1.84600445974687</v>
      </c>
      <c r="AI29" s="14" t="n">
        <f aca="false">AI28/$F$28</f>
        <v>1.8746716515612</v>
      </c>
      <c r="AJ29" s="14" t="n">
        <f aca="false">AJ28/$F$28</f>
        <v>1.90304394048593</v>
      </c>
      <c r="AK29" s="14" t="n">
        <f aca="false">AK28/$F$28</f>
        <v>1.94143898474934</v>
      </c>
    </row>
    <row r="30" customFormat="false" ht="15" hidden="false" customHeight="true" outlineLevel="0" collapsed="false">
      <c r="A30" s="10" t="s">
        <v>45</v>
      </c>
      <c r="B30" s="12"/>
      <c r="C30" s="12"/>
      <c r="D30" s="12" t="n">
        <f aca="false">SUM(D20:D21)</f>
        <v>164878851.2</v>
      </c>
      <c r="E30" s="12" t="n">
        <f aca="false">SUM(E20:E21)</f>
        <v>172476613.6</v>
      </c>
      <c r="F30" s="12" t="n">
        <f aca="false">SUM(F20:F21)</f>
        <v>180682556</v>
      </c>
      <c r="G30" s="12" t="n">
        <f aca="false">SUM(G20:G21)</f>
        <v>189542353.2</v>
      </c>
      <c r="H30" s="12" t="n">
        <f aca="false">SUM(H20:H21)</f>
        <v>199181827.2</v>
      </c>
      <c r="I30" s="12" t="n">
        <f aca="false">SUM(I20:I21)</f>
        <v>209680173.6</v>
      </c>
      <c r="J30" s="12" t="n">
        <f aca="false">SUM(J20:J21)</f>
        <v>221066006.4</v>
      </c>
      <c r="K30" s="12" t="n">
        <f aca="false">SUM(K20:K21)</f>
        <v>233314040.4</v>
      </c>
      <c r="L30" s="12" t="n">
        <f aca="false">SUM(L20:L21)</f>
        <v>245509882.4</v>
      </c>
      <c r="M30" s="12" t="n">
        <f aca="false">SUM(M20:M21)</f>
        <v>256889526.4</v>
      </c>
      <c r="N30" s="12" t="n">
        <f aca="false">SUM(N20:N21)</f>
        <v>267522012.4</v>
      </c>
      <c r="O30" s="12" t="n">
        <f aca="false">SUM(O20:O21)</f>
        <v>277454900.8</v>
      </c>
      <c r="P30" s="12" t="n">
        <f aca="false">SUM(P20:P21)</f>
        <v>286732554.8</v>
      </c>
      <c r="Q30" s="12" t="n">
        <f aca="false">SUM(Q20:Q21)</f>
        <v>295396411.6</v>
      </c>
      <c r="R30" s="12" t="n">
        <f aca="false">SUM(R20:R21)</f>
        <v>303509750</v>
      </c>
      <c r="S30" s="12" t="n">
        <f aca="false">SUM(S20:S21)</f>
        <v>311128921.2</v>
      </c>
      <c r="T30" s="12" t="n">
        <f aca="false">SUM(T20:T21)</f>
        <v>318299719.2</v>
      </c>
      <c r="U30" s="12" t="n">
        <f aca="false">SUM(U20:U21)</f>
        <v>325074235.2</v>
      </c>
      <c r="V30" s="12" t="n">
        <f aca="false">SUM(V20:V21)</f>
        <v>331258311.6</v>
      </c>
      <c r="W30" s="12" t="n">
        <f aca="false">SUM(W20:W21)</f>
        <v>336744190</v>
      </c>
      <c r="X30" s="12" t="n">
        <f aca="false">SUM(X20:X21)</f>
        <v>341618388.8</v>
      </c>
      <c r="Y30" s="12" t="n">
        <f aca="false">SUM(Y20:Y21)</f>
        <v>345928121.2</v>
      </c>
      <c r="Z30" s="12" t="n">
        <f aca="false">SUM(Z20:Z21)</f>
        <v>349737644.8</v>
      </c>
      <c r="AA30" s="12" t="n">
        <f aca="false">SUM(AA20:AA21)</f>
        <v>353104055.6</v>
      </c>
      <c r="AB30" s="12" t="n">
        <f aca="false">SUM(AB20:AB21)</f>
        <v>356081074.4</v>
      </c>
      <c r="AC30" s="12" t="n">
        <f aca="false">SUM(AC20:AC21)</f>
        <v>358717915.6</v>
      </c>
      <c r="AD30" s="12" t="n">
        <f aca="false">SUM(AD20:AD21)</f>
        <v>361057940.4</v>
      </c>
      <c r="AE30" s="12" t="n">
        <f aca="false">SUM(AE20:AE21)</f>
        <v>363141744.8</v>
      </c>
      <c r="AF30" s="12" t="n">
        <f aca="false">SUM(AF20:AF21)</f>
        <v>365004732.4</v>
      </c>
      <c r="AG30" s="12" t="n">
        <f aca="false">SUM(AG20:AG21)</f>
        <v>366680940</v>
      </c>
      <c r="AH30" s="12" t="n">
        <f aca="false">SUM(AH20:AH21)</f>
        <v>368200799.2</v>
      </c>
      <c r="AI30" s="12" t="n">
        <f aca="false">SUM(AI20:AI21)</f>
        <v>369590208.4</v>
      </c>
      <c r="AJ30" s="12" t="n">
        <f aca="false">SUM(AJ20:AJ21)</f>
        <v>370871730.4</v>
      </c>
      <c r="AK30" s="12" t="n">
        <f aca="false">SUM(AK20:AK21)</f>
        <v>372064458.4</v>
      </c>
    </row>
    <row r="31" customFormat="false" ht="15" hidden="false" customHeight="true" outlineLevel="0" collapsed="false">
      <c r="A31" s="13" t="s">
        <v>43</v>
      </c>
      <c r="B31" s="14"/>
      <c r="C31" s="14"/>
      <c r="D31" s="14"/>
      <c r="E31" s="14"/>
      <c r="F31" s="14" t="n">
        <v>1</v>
      </c>
      <c r="G31" s="14" t="n">
        <f aca="false">G30/$F$30</f>
        <v>1.04903515533619</v>
      </c>
      <c r="H31" s="14" t="n">
        <f aca="false">H30/$F$30</f>
        <v>1.10238548540347</v>
      </c>
      <c r="I31" s="14" t="n">
        <f aca="false">I30/$F$30</f>
        <v>1.16048930368242</v>
      </c>
      <c r="J31" s="14" t="n">
        <f aca="false">J30/$F$30</f>
        <v>1.2235049763188</v>
      </c>
      <c r="K31" s="14" t="n">
        <f aca="false">K30/$F$30</f>
        <v>1.29129256063878</v>
      </c>
      <c r="L31" s="14" t="n">
        <f aca="false">L30/$F$30</f>
        <v>1.35879128475468</v>
      </c>
      <c r="M31" s="14" t="n">
        <f aca="false">M30/$F$30</f>
        <v>1.42177270505294</v>
      </c>
      <c r="N31" s="14" t="n">
        <f aca="false">N30/$F$30</f>
        <v>1.48061892814932</v>
      </c>
      <c r="O31" s="14" t="n">
        <f aca="false">O30/$F$30</f>
        <v>1.53559318034</v>
      </c>
      <c r="P31" s="14" t="n">
        <f aca="false">P30/$F$30</f>
        <v>1.58694099279844</v>
      </c>
      <c r="Q31" s="14" t="n">
        <f aca="false">Q30/$F$30</f>
        <v>1.63489170255041</v>
      </c>
      <c r="R31" s="14" t="n">
        <f aca="false">R30/$F$30</f>
        <v>1.67979553045508</v>
      </c>
      <c r="S31" s="14" t="n">
        <f aca="false">S30/$F$30</f>
        <v>1.72196435609423</v>
      </c>
      <c r="T31" s="14" t="n">
        <f aca="false">T30/$F$30</f>
        <v>1.76165162950208</v>
      </c>
      <c r="U31" s="14" t="n">
        <f aca="false">U30/$F$30</f>
        <v>1.79914565299818</v>
      </c>
      <c r="V31" s="14" t="n">
        <f aca="false">V30/$F$30</f>
        <v>1.83337184802721</v>
      </c>
      <c r="W31" s="14" t="n">
        <f aca="false">W30/$F$30</f>
        <v>1.86373381833274</v>
      </c>
      <c r="X31" s="14" t="n">
        <f aca="false">X30/$F$30</f>
        <v>1.89071040593426</v>
      </c>
      <c r="Y31" s="14" t="n">
        <f aca="false">Y30/$F$30</f>
        <v>1.91456291552572</v>
      </c>
      <c r="Z31" s="14" t="n">
        <f aca="false">Z30/$F$30</f>
        <v>1.93564698520205</v>
      </c>
      <c r="AA31" s="14" t="n">
        <f aca="false">AA30/$F$30</f>
        <v>1.9542786166917</v>
      </c>
      <c r="AB31" s="14" t="n">
        <f aca="false">AB30/$F$30</f>
        <v>1.97075513144722</v>
      </c>
      <c r="AC31" s="14" t="n">
        <f aca="false">AC30/$F$30</f>
        <v>1.98534890994126</v>
      </c>
      <c r="AD31" s="14" t="n">
        <f aca="false">AD30/$F$30</f>
        <v>1.99829993770954</v>
      </c>
      <c r="AE31" s="14" t="n">
        <f aca="false">AE30/$F$30</f>
        <v>2.00983289609873</v>
      </c>
      <c r="AF31" s="14" t="n">
        <f aca="false">AF30/$F$30</f>
        <v>2.02014372876151</v>
      </c>
      <c r="AG31" s="14" t="n">
        <f aca="false">AG30/$F$30</f>
        <v>2.02942081470222</v>
      </c>
      <c r="AH31" s="14" t="n">
        <f aca="false">AH30/$F$30</f>
        <v>2.03783257969851</v>
      </c>
      <c r="AI31" s="14" t="n">
        <f aca="false">AI30/$F$30</f>
        <v>2.04552236022165</v>
      </c>
      <c r="AJ31" s="14" t="n">
        <f aca="false">AJ30/$F$30</f>
        <v>2.05261503163593</v>
      </c>
      <c r="AK31" s="14" t="n">
        <f aca="false">AK30/$F$30</f>
        <v>2.05921626656643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8"/>
  <sheetViews>
    <sheetView showFormulas="false" showGridLines="true" showRowColHeaders="true" showZeros="true" rightToLeft="false" tabSelected="false" showOutlineSymbols="true" defaultGridColor="true" view="normal" topLeftCell="B1" colorId="64" zoomScale="100" zoomScaleNormal="100" zoomScalePageLayoutView="100" workbookViewId="0">
      <selection pane="topLeft" activeCell="F11" activeCellId="0" sqref="F11"/>
    </sheetView>
  </sheetViews>
  <sheetFormatPr defaultColWidth="8.83203125" defaultRowHeight="15" zeroHeight="false" outlineLevelRow="0" outlineLevelCol="0"/>
  <cols>
    <col collapsed="false" customWidth="true" hidden="false" outlineLevel="0" max="1" min="1" style="1" width="38"/>
  </cols>
  <sheetData>
    <row r="1" customFormat="false" ht="15" hidden="false" customHeight="true" outlineLevel="0" collapsed="false">
      <c r="A1" s="1" t="s">
        <v>12</v>
      </c>
    </row>
    <row r="2" customFormat="false" ht="15" hidden="false" customHeight="true" outlineLevel="0" collapsed="false">
      <c r="A2" s="1" t="s">
        <v>46</v>
      </c>
    </row>
    <row r="4" customFormat="false" ht="15" hidden="false" customHeight="true" outlineLevel="0" collapsed="false">
      <c r="A4" s="2" t="s">
        <v>23</v>
      </c>
    </row>
    <row r="5" customFormat="false" ht="15" hidden="false" customHeight="true" outlineLevel="0" collapsed="false">
      <c r="A5" s="7" t="s">
        <v>24</v>
      </c>
    </row>
    <row r="9" customFormat="false" ht="15" hidden="false" customHeight="true" outlineLevel="0" collapsed="false">
      <c r="A9" s="10" t="s">
        <v>47</v>
      </c>
      <c r="B9" s="15" t="n">
        <v>2013</v>
      </c>
      <c r="C9" s="15" t="n">
        <v>2014</v>
      </c>
      <c r="D9" s="15" t="n">
        <v>2015</v>
      </c>
      <c r="E9" s="15" t="n">
        <v>2016</v>
      </c>
      <c r="F9" s="15" t="n">
        <v>2017</v>
      </c>
      <c r="G9" s="15" t="n">
        <v>2018</v>
      </c>
      <c r="H9" s="15" t="n">
        <v>2019</v>
      </c>
      <c r="I9" s="15" t="n">
        <v>2020</v>
      </c>
      <c r="J9" s="15" t="n">
        <v>2021</v>
      </c>
      <c r="K9" s="15" t="n">
        <v>2022</v>
      </c>
      <c r="L9" s="15" t="n">
        <v>2023</v>
      </c>
      <c r="M9" s="15" t="n">
        <v>2024</v>
      </c>
      <c r="N9" s="15" t="n">
        <v>2025</v>
      </c>
      <c r="O9" s="15" t="n">
        <v>2026</v>
      </c>
      <c r="P9" s="15" t="n">
        <v>2027</v>
      </c>
      <c r="Q9" s="15" t="n">
        <v>2028</v>
      </c>
      <c r="R9" s="15" t="n">
        <v>2029</v>
      </c>
      <c r="S9" s="15" t="n">
        <v>2030</v>
      </c>
      <c r="T9" s="15" t="n">
        <v>2031</v>
      </c>
      <c r="U9" s="15" t="n">
        <v>2032</v>
      </c>
      <c r="V9" s="15" t="n">
        <v>2033</v>
      </c>
      <c r="W9" s="15" t="n">
        <v>2034</v>
      </c>
      <c r="X9" s="15" t="n">
        <v>2035</v>
      </c>
      <c r="Y9" s="15" t="n">
        <v>2036</v>
      </c>
      <c r="Z9" s="15" t="n">
        <v>2037</v>
      </c>
      <c r="AA9" s="15" t="n">
        <v>2038</v>
      </c>
      <c r="AB9" s="15" t="n">
        <v>2039</v>
      </c>
      <c r="AC9" s="15" t="n">
        <v>2040</v>
      </c>
      <c r="AD9" s="15" t="n">
        <v>2041</v>
      </c>
      <c r="AE9" s="15" t="n">
        <v>2042</v>
      </c>
      <c r="AF9" s="15" t="n">
        <v>2043</v>
      </c>
      <c r="AG9" s="15" t="n">
        <v>2044</v>
      </c>
      <c r="AH9" s="15" t="n">
        <v>2045</v>
      </c>
      <c r="AI9" s="15" t="n">
        <v>2046</v>
      </c>
      <c r="AJ9" s="15" t="n">
        <v>2047</v>
      </c>
      <c r="AK9" s="15" t="n">
        <v>2048</v>
      </c>
      <c r="AL9" s="15" t="n">
        <v>2049</v>
      </c>
      <c r="AM9" s="15" t="n">
        <v>2050</v>
      </c>
    </row>
    <row r="10" customFormat="false" ht="15" hidden="false" customHeight="true" outlineLevel="0" collapsed="false">
      <c r="A10" s="1" t="s">
        <v>48</v>
      </c>
      <c r="B10" s="12" t="n">
        <v>210.861066918469</v>
      </c>
      <c r="C10" s="12" t="n">
        <v>221.614981331311</v>
      </c>
      <c r="D10" s="12" t="n">
        <v>239.344179837816</v>
      </c>
      <c r="E10" s="12" t="n">
        <v>259.467214263295</v>
      </c>
      <c r="F10" s="12" t="n">
        <v>279.171051362829</v>
      </c>
      <c r="G10" s="12" t="n">
        <v>301.504735471855</v>
      </c>
      <c r="H10" s="12" t="n">
        <v>325.625114309603</v>
      </c>
      <c r="I10" s="12" t="n">
        <v>343.596461962213</v>
      </c>
      <c r="J10" s="12" t="n">
        <v>362.487501321063</v>
      </c>
      <c r="K10" s="12" t="n">
        <v>382.417175845186</v>
      </c>
      <c r="L10" s="12" t="n">
        <v>403.442590016028</v>
      </c>
      <c r="M10" s="12" t="n">
        <v>425.623987937021</v>
      </c>
      <c r="N10" s="12" t="n">
        <v>449.024925950966</v>
      </c>
      <c r="O10" s="12" t="n">
        <v>472.211310878297</v>
      </c>
      <c r="P10" s="12" t="n">
        <v>496.594975544297</v>
      </c>
      <c r="Q10" s="12" t="n">
        <v>522.237744109012</v>
      </c>
      <c r="R10" s="12" t="n">
        <v>549.204633158318</v>
      </c>
      <c r="S10" s="12" t="n">
        <v>577.56401655182</v>
      </c>
      <c r="T10" s="12" t="n">
        <v>598.221484885915</v>
      </c>
      <c r="U10" s="12" t="n">
        <v>619.617799453059</v>
      </c>
      <c r="V10" s="12" t="n">
        <v>641.779386228945</v>
      </c>
      <c r="W10" s="12" t="n">
        <v>664.733616355069</v>
      </c>
      <c r="X10" s="12" t="n">
        <v>688.508839944039</v>
      </c>
      <c r="Y10" s="12" t="n">
        <v>711.024813061733</v>
      </c>
      <c r="Z10" s="12" t="n">
        <v>734.277115208228</v>
      </c>
      <c r="AA10" s="12" t="n">
        <v>758.289826197255</v>
      </c>
      <c r="AB10" s="12" t="n">
        <v>783.087813313101</v>
      </c>
      <c r="AC10" s="12" t="n">
        <v>808.696757062879</v>
      </c>
      <c r="AD10" s="12" t="n">
        <v>832.80175273448</v>
      </c>
      <c r="AE10" s="12" t="n">
        <v>857.62525112203</v>
      </c>
      <c r="AF10" s="12" t="n">
        <v>883.188668788295</v>
      </c>
      <c r="AG10" s="12" t="n">
        <v>909.51406066407</v>
      </c>
      <c r="AH10" s="12" t="n">
        <v>936.624139076149</v>
      </c>
      <c r="AI10" s="12" t="n">
        <v>962.03279438668</v>
      </c>
      <c r="AJ10" s="12" t="n">
        <v>988.130733410662</v>
      </c>
      <c r="AK10" s="12" t="n">
        <v>1014.93665497461</v>
      </c>
      <c r="AL10" s="12" t="n">
        <v>1042.46976516512</v>
      </c>
      <c r="AM10" s="12" t="n">
        <v>1070.74979108977</v>
      </c>
    </row>
    <row r="11" customFormat="false" ht="15" hidden="false" customHeight="true" outlineLevel="0" collapsed="false">
      <c r="A11" s="2" t="s">
        <v>49</v>
      </c>
      <c r="B11" s="16"/>
      <c r="C11" s="16"/>
      <c r="D11" s="16"/>
      <c r="E11" s="16"/>
      <c r="F11" s="16"/>
      <c r="G11" s="16"/>
      <c r="H11" s="16" t="n">
        <v>1</v>
      </c>
      <c r="I11" s="16" t="n">
        <f aca="false">I10/$H$10</f>
        <v>1.05519029971233</v>
      </c>
      <c r="J11" s="16" t="n">
        <f aca="false">J10/$H$10</f>
        <v>1.11320498755023</v>
      </c>
      <c r="K11" s="16" t="n">
        <f aca="false">K10/$H$10</f>
        <v>1.17440934080283</v>
      </c>
      <c r="L11" s="16" t="n">
        <f aca="false">L10/$H$10</f>
        <v>1.23897872825754</v>
      </c>
      <c r="M11" s="16" t="n">
        <f aca="false">M10/$H$10</f>
        <v>1.30709816053174</v>
      </c>
      <c r="N11" s="16" t="n">
        <f aca="false">N10/$H$10</f>
        <v>1.37896282018357</v>
      </c>
      <c r="O11" s="16" t="n">
        <f aca="false">O10/$H$10</f>
        <v>1.45016858383141</v>
      </c>
      <c r="P11" s="16" t="n">
        <f aca="false">P10/$H$10</f>
        <v>1.52505121294832</v>
      </c>
      <c r="Q11" s="16" t="n">
        <f aca="false">Q10/$H$10</f>
        <v>1.60380057053115</v>
      </c>
      <c r="R11" s="16" t="n">
        <f aca="false">R10/$H$10</f>
        <v>1.68661632356814</v>
      </c>
      <c r="S11" s="16" t="n">
        <f aca="false">S10/$H$10</f>
        <v>1.77370844928956</v>
      </c>
      <c r="T11" s="16" t="n">
        <f aca="false">T10/$H$10</f>
        <v>1.83714786912022</v>
      </c>
      <c r="U11" s="16" t="n">
        <f aca="false">U10/$H$10</f>
        <v>1.90285629769923</v>
      </c>
      <c r="V11" s="16" t="n">
        <f aca="false">V10/$H$10</f>
        <v>1.97091488962594</v>
      </c>
      <c r="W11" s="16" t="n">
        <f aca="false">W10/$H$10</f>
        <v>2.0414077021192</v>
      </c>
      <c r="X11" s="16" t="n">
        <f aca="false">X10/$H$10</f>
        <v>2.114421798834</v>
      </c>
      <c r="Y11" s="16" t="n">
        <f aca="false">Y10/$H$10</f>
        <v>2.18356871695619</v>
      </c>
      <c r="Z11" s="16" t="n">
        <f aca="false">Z10/$H$10</f>
        <v>2.25497691345171</v>
      </c>
      <c r="AA11" s="16" t="n">
        <f aca="false">AA10/$H$10</f>
        <v>2.32872033781853</v>
      </c>
      <c r="AB11" s="16" t="n">
        <f aca="false">AB10/$H$10</f>
        <v>2.40487535788945</v>
      </c>
      <c r="AC11" s="16" t="n">
        <f aca="false">AC10/$H$10</f>
        <v>2.48352083891777</v>
      </c>
      <c r="AD11" s="16" t="n">
        <f aca="false">AD10/$H$10</f>
        <v>2.55754767103945</v>
      </c>
      <c r="AE11" s="16" t="n">
        <f aca="false">AE10/$H$10</f>
        <v>2.63378103663897</v>
      </c>
      <c r="AF11" s="16" t="n">
        <f aca="false">AF10/$H$10</f>
        <v>2.71228670632746</v>
      </c>
      <c r="AG11" s="16" t="n">
        <f aca="false">AG10/$H$10</f>
        <v>2.79313241115459</v>
      </c>
      <c r="AH11" s="16" t="n">
        <f aca="false">AH10/$H$10</f>
        <v>2.87638790104381</v>
      </c>
      <c r="AI11" s="16" t="n">
        <f aca="false">AI10/$H$10</f>
        <v>2.95441829303124</v>
      </c>
      <c r="AJ11" s="16" t="n">
        <f aca="false">AJ10/$H$10</f>
        <v>3.0345654864666</v>
      </c>
      <c r="AK11" s="16" t="n">
        <f aca="false">AK10/$H$10</f>
        <v>3.11688690574896</v>
      </c>
      <c r="AL11" s="16" t="n">
        <f aca="false">AL10/$H$10</f>
        <v>3.20144153308133</v>
      </c>
      <c r="AM11" s="16" t="n">
        <f aca="false">AM10/$H$10</f>
        <v>3.2882899507306</v>
      </c>
    </row>
    <row r="18" customFormat="false" ht="10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21"/>
  <sheetViews>
    <sheetView showFormulas="false" showGridLines="true" showRowColHeaders="true" showZeros="true" rightToLeft="false" tabSelected="false" showOutlineSymbols="true" defaultGridColor="true" view="normal" topLeftCell="B1" colorId="64" zoomScale="100" zoomScaleNormal="100" zoomScalePageLayoutView="100" workbookViewId="0">
      <selection pane="topLeft" activeCell="G10" activeCellId="0" sqref="G10"/>
    </sheetView>
  </sheetViews>
  <sheetFormatPr defaultColWidth="8.83203125" defaultRowHeight="15" zeroHeight="false" outlineLevelRow="0" outlineLevelCol="0"/>
  <cols>
    <col collapsed="false" customWidth="true" hidden="false" outlineLevel="0" max="1" min="1" style="1" width="38.16"/>
  </cols>
  <sheetData>
    <row r="1" customFormat="false" ht="15" hidden="false" customHeight="true" outlineLevel="0" collapsed="false">
      <c r="A1" s="1" t="s">
        <v>12</v>
      </c>
    </row>
    <row r="2" customFormat="false" ht="15" hidden="false" customHeight="true" outlineLevel="0" collapsed="false">
      <c r="A2" s="1" t="s">
        <v>50</v>
      </c>
    </row>
    <row r="3" customFormat="false" ht="15" hidden="false" customHeight="true" outlineLevel="0" collapsed="false">
      <c r="A3" s="1" t="s">
        <v>51</v>
      </c>
    </row>
    <row r="5" customFormat="false" ht="15" hidden="false" customHeight="true" outlineLevel="0" collapsed="false">
      <c r="A5" s="2" t="s">
        <v>23</v>
      </c>
    </row>
    <row r="7" customFormat="false" ht="15" hidden="false" customHeight="true" outlineLevel="0" collapsed="false">
      <c r="A7" s="10" t="s">
        <v>52</v>
      </c>
      <c r="B7" s="15" t="n">
        <v>2013</v>
      </c>
      <c r="C7" s="15" t="n">
        <v>2014</v>
      </c>
      <c r="D7" s="15" t="n">
        <v>2015</v>
      </c>
      <c r="E7" s="15" t="n">
        <v>2016</v>
      </c>
      <c r="F7" s="15" t="n">
        <v>2017</v>
      </c>
      <c r="G7" s="15" t="n">
        <v>2018</v>
      </c>
      <c r="H7" s="15" t="n">
        <v>2019</v>
      </c>
      <c r="I7" s="15" t="n">
        <v>2020</v>
      </c>
      <c r="J7" s="15" t="n">
        <v>2021</v>
      </c>
      <c r="K7" s="15" t="n">
        <v>2022</v>
      </c>
      <c r="L7" s="15" t="n">
        <v>2023</v>
      </c>
      <c r="M7" s="15" t="n">
        <v>2024</v>
      </c>
      <c r="N7" s="15" t="n">
        <v>2025</v>
      </c>
      <c r="O7" s="15" t="n">
        <v>2026</v>
      </c>
      <c r="P7" s="15" t="n">
        <v>2027</v>
      </c>
      <c r="Q7" s="15" t="n">
        <v>2028</v>
      </c>
      <c r="R7" s="15" t="n">
        <v>2029</v>
      </c>
      <c r="S7" s="15" t="n">
        <v>2030</v>
      </c>
      <c r="T7" s="15" t="n">
        <v>2031</v>
      </c>
      <c r="U7" s="15" t="n">
        <v>2032</v>
      </c>
      <c r="V7" s="15" t="n">
        <v>2033</v>
      </c>
      <c r="W7" s="15" t="n">
        <v>2034</v>
      </c>
      <c r="X7" s="15" t="n">
        <v>2035</v>
      </c>
      <c r="Y7" s="15" t="n">
        <v>2036</v>
      </c>
      <c r="Z7" s="15" t="n">
        <v>2037</v>
      </c>
      <c r="AA7" s="15" t="n">
        <v>2038</v>
      </c>
      <c r="AB7" s="15" t="n">
        <v>2039</v>
      </c>
      <c r="AC7" s="15" t="n">
        <v>2040</v>
      </c>
      <c r="AD7" s="15" t="n">
        <v>2041</v>
      </c>
      <c r="AE7" s="15" t="n">
        <v>2042</v>
      </c>
      <c r="AF7" s="15" t="n">
        <v>2043</v>
      </c>
      <c r="AG7" s="15" t="n">
        <v>2044</v>
      </c>
      <c r="AH7" s="15" t="n">
        <v>2045</v>
      </c>
      <c r="AI7" s="15" t="n">
        <v>2046</v>
      </c>
      <c r="AJ7" s="15" t="n">
        <v>2047</v>
      </c>
      <c r="AK7" s="15" t="n">
        <v>2048</v>
      </c>
      <c r="AL7" s="15" t="n">
        <v>2049</v>
      </c>
      <c r="AM7" s="15" t="n">
        <v>2050</v>
      </c>
    </row>
    <row r="8" customFormat="false" ht="15" hidden="false" customHeight="true" outlineLevel="0" collapsed="false">
      <c r="A8" s="1" t="s">
        <v>48</v>
      </c>
      <c r="B8" s="1" t="n">
        <v>28000</v>
      </c>
      <c r="C8" s="1" t="n">
        <v>28285.7142857143</v>
      </c>
      <c r="D8" s="1" t="n">
        <v>28571.4285714286</v>
      </c>
      <c r="E8" s="1" t="n">
        <v>28857.1428571429</v>
      </c>
      <c r="F8" s="1" t="n">
        <v>29142.8571428571</v>
      </c>
      <c r="G8" s="1" t="n">
        <v>29428.5714285714</v>
      </c>
      <c r="H8" s="1" t="n">
        <v>29714.2857142857</v>
      </c>
      <c r="I8" s="1" t="n">
        <v>30000</v>
      </c>
      <c r="J8" s="1" t="n">
        <v>32000</v>
      </c>
      <c r="K8" s="1" t="n">
        <v>34000</v>
      </c>
      <c r="L8" s="1" t="n">
        <v>36000</v>
      </c>
      <c r="M8" s="1" t="n">
        <v>38000</v>
      </c>
      <c r="N8" s="1" t="n">
        <v>40000</v>
      </c>
      <c r="O8" s="1" t="n">
        <v>42000</v>
      </c>
      <c r="P8" s="1" t="n">
        <v>44000</v>
      </c>
      <c r="Q8" s="1" t="n">
        <v>46000</v>
      </c>
      <c r="R8" s="1" t="n">
        <v>48000</v>
      </c>
      <c r="S8" s="1" t="n">
        <v>50000</v>
      </c>
      <c r="T8" s="1" t="n">
        <v>52500</v>
      </c>
      <c r="U8" s="1" t="n">
        <v>55000</v>
      </c>
      <c r="V8" s="1" t="n">
        <v>57500</v>
      </c>
      <c r="W8" s="1" t="n">
        <v>60000</v>
      </c>
      <c r="X8" s="1" t="n">
        <v>62500</v>
      </c>
      <c r="Y8" s="1" t="n">
        <v>65000</v>
      </c>
      <c r="Z8" s="1" t="n">
        <v>67500</v>
      </c>
      <c r="AA8" s="1" t="n">
        <v>70000</v>
      </c>
      <c r="AB8" s="1" t="n">
        <v>72500</v>
      </c>
      <c r="AC8" s="1" t="n">
        <v>75000</v>
      </c>
      <c r="AD8" s="1" t="n">
        <v>76500</v>
      </c>
      <c r="AE8" s="1" t="n">
        <v>78000</v>
      </c>
      <c r="AF8" s="1" t="n">
        <v>79500</v>
      </c>
      <c r="AG8" s="1" t="n">
        <v>81000</v>
      </c>
      <c r="AH8" s="1" t="n">
        <v>82500</v>
      </c>
      <c r="AI8" s="1" t="n">
        <v>84000</v>
      </c>
      <c r="AJ8" s="1" t="n">
        <v>85500</v>
      </c>
      <c r="AK8" s="1" t="n">
        <v>87000</v>
      </c>
      <c r="AL8" s="1" t="n">
        <v>88500</v>
      </c>
      <c r="AM8" s="1" t="n">
        <v>90000</v>
      </c>
    </row>
    <row r="9" customFormat="false" ht="15" hidden="false" customHeight="true" outlineLevel="0" collapsed="false">
      <c r="A9" s="1" t="s">
        <v>53</v>
      </c>
      <c r="B9" s="17" t="n">
        <v>28000</v>
      </c>
      <c r="C9" s="17" t="n">
        <v>28285.7142857143</v>
      </c>
      <c r="D9" s="17" t="n">
        <v>28571.4285714286</v>
      </c>
      <c r="E9" s="17" t="n">
        <v>28857.1428571429</v>
      </c>
      <c r="F9" s="17" t="n">
        <v>29142.8571428571</v>
      </c>
      <c r="G9" s="17" t="n">
        <v>29428.5714285714</v>
      </c>
      <c r="H9" s="17" t="n">
        <v>29714.2857142857</v>
      </c>
      <c r="I9" s="1" t="n">
        <v>30000</v>
      </c>
      <c r="J9" s="1" t="n">
        <v>32000</v>
      </c>
      <c r="K9" s="1" t="n">
        <v>34000</v>
      </c>
      <c r="L9" s="1" t="n">
        <v>36000</v>
      </c>
      <c r="M9" s="1" t="n">
        <v>38000</v>
      </c>
      <c r="N9" s="1" t="n">
        <v>40000</v>
      </c>
      <c r="O9" s="1" t="n">
        <v>42000</v>
      </c>
      <c r="P9" s="1" t="n">
        <v>44000</v>
      </c>
      <c r="Q9" s="1" t="n">
        <v>46000</v>
      </c>
      <c r="R9" s="1" t="n">
        <v>48000</v>
      </c>
      <c r="S9" s="1" t="n">
        <v>50000</v>
      </c>
      <c r="T9" s="1" t="n">
        <v>52500</v>
      </c>
      <c r="U9" s="1" t="n">
        <v>55000</v>
      </c>
      <c r="V9" s="1" t="n">
        <v>57500</v>
      </c>
      <c r="W9" s="1" t="n">
        <v>60000</v>
      </c>
      <c r="X9" s="1" t="n">
        <v>62500</v>
      </c>
      <c r="Y9" s="1" t="n">
        <v>65000</v>
      </c>
      <c r="Z9" s="1" t="n">
        <v>67500</v>
      </c>
      <c r="AA9" s="1" t="n">
        <v>70000</v>
      </c>
      <c r="AB9" s="1" t="n">
        <v>72500</v>
      </c>
      <c r="AC9" s="1" t="n">
        <v>75000</v>
      </c>
      <c r="AD9" s="1" t="n">
        <v>76500</v>
      </c>
      <c r="AE9" s="1" t="n">
        <v>78000</v>
      </c>
      <c r="AF9" s="1" t="n">
        <v>79500</v>
      </c>
      <c r="AG9" s="1" t="n">
        <v>81000</v>
      </c>
      <c r="AH9" s="1" t="n">
        <v>82500</v>
      </c>
      <c r="AI9" s="1" t="n">
        <v>84000</v>
      </c>
      <c r="AJ9" s="1" t="n">
        <v>85500</v>
      </c>
      <c r="AK9" s="1" t="n">
        <v>87000</v>
      </c>
      <c r="AL9" s="1" t="n">
        <v>88500</v>
      </c>
      <c r="AM9" s="1" t="n">
        <v>90000</v>
      </c>
    </row>
    <row r="10" customFormat="false" ht="15" hidden="false" customHeight="true" outlineLevel="0" collapsed="false">
      <c r="A10" s="2" t="s">
        <v>49</v>
      </c>
      <c r="B10" s="18"/>
      <c r="C10" s="18"/>
      <c r="D10" s="18"/>
      <c r="E10" s="18"/>
      <c r="F10" s="18"/>
      <c r="G10" s="18"/>
      <c r="H10" s="18" t="n">
        <v>1</v>
      </c>
      <c r="I10" s="18" t="n">
        <f aca="false">I9/$H$9</f>
        <v>1.00961538461539</v>
      </c>
      <c r="J10" s="18" t="n">
        <f aca="false">J9/$H$9</f>
        <v>1.07692307692308</v>
      </c>
      <c r="K10" s="18" t="n">
        <f aca="false">K9/$H$9</f>
        <v>1.14423076923077</v>
      </c>
      <c r="L10" s="18" t="n">
        <f aca="false">L9/$H$9</f>
        <v>1.21153846153846</v>
      </c>
      <c r="M10" s="18" t="n">
        <f aca="false">M9/$H$9</f>
        <v>1.27884615384615</v>
      </c>
      <c r="N10" s="18" t="n">
        <f aca="false">N9/$H$9</f>
        <v>1.34615384615385</v>
      </c>
      <c r="O10" s="18" t="n">
        <f aca="false">O9/$H$9</f>
        <v>1.41346153846154</v>
      </c>
      <c r="P10" s="18" t="n">
        <f aca="false">P9/$H$9</f>
        <v>1.48076923076923</v>
      </c>
      <c r="Q10" s="18" t="n">
        <f aca="false">Q9/$H$9</f>
        <v>1.54807692307692</v>
      </c>
      <c r="R10" s="18" t="n">
        <f aca="false">R9/$H$9</f>
        <v>1.61538461538462</v>
      </c>
      <c r="S10" s="18" t="n">
        <f aca="false">S9/$H$9</f>
        <v>1.68269230769231</v>
      </c>
      <c r="T10" s="18" t="n">
        <f aca="false">T9/$H$9</f>
        <v>1.76682692307692</v>
      </c>
      <c r="U10" s="18" t="n">
        <f aca="false">U9/$H$9</f>
        <v>1.85096153846154</v>
      </c>
      <c r="V10" s="18" t="n">
        <f aca="false">V9/$H$9</f>
        <v>1.93509615384615</v>
      </c>
      <c r="W10" s="18" t="n">
        <f aca="false">W9/$H$9</f>
        <v>2.01923076923077</v>
      </c>
      <c r="X10" s="18" t="n">
        <f aca="false">X9/$H$9</f>
        <v>2.10336538461539</v>
      </c>
      <c r="Y10" s="18" t="n">
        <f aca="false">Y9/$H$9</f>
        <v>2.1875</v>
      </c>
      <c r="Z10" s="18" t="n">
        <f aca="false">Z9/$H$9</f>
        <v>2.27163461538462</v>
      </c>
      <c r="AA10" s="18" t="n">
        <f aca="false">AA9/$H$9</f>
        <v>2.35576923076923</v>
      </c>
      <c r="AB10" s="18" t="n">
        <f aca="false">AB9/$H$9</f>
        <v>2.43990384615385</v>
      </c>
      <c r="AC10" s="18" t="n">
        <f aca="false">AC9/$H$9</f>
        <v>2.52403846153846</v>
      </c>
      <c r="AD10" s="18" t="n">
        <f aca="false">AD9/$H$9</f>
        <v>2.57451923076923</v>
      </c>
      <c r="AE10" s="18" t="n">
        <f aca="false">AE9/$H$9</f>
        <v>2.625</v>
      </c>
      <c r="AF10" s="18" t="n">
        <f aca="false">AF9/$H$9</f>
        <v>2.67548076923077</v>
      </c>
      <c r="AG10" s="18" t="n">
        <f aca="false">AG9/$H$9</f>
        <v>2.72596153846154</v>
      </c>
      <c r="AH10" s="18" t="n">
        <f aca="false">AH9/$H$9</f>
        <v>2.77644230769231</v>
      </c>
      <c r="AI10" s="18" t="n">
        <f aca="false">AI9/$H$9</f>
        <v>2.82692307692308</v>
      </c>
      <c r="AJ10" s="18" t="n">
        <f aca="false">AJ9/$H$9</f>
        <v>2.87740384615385</v>
      </c>
      <c r="AK10" s="18" t="n">
        <f aca="false">AK9/$H$9</f>
        <v>2.92788461538462</v>
      </c>
      <c r="AL10" s="18" t="n">
        <f aca="false">AL9/$H$9</f>
        <v>2.97836538461539</v>
      </c>
      <c r="AM10" s="18" t="n">
        <f aca="false">AM9/$H$9</f>
        <v>3.02884615384616</v>
      </c>
    </row>
    <row r="21" customFormat="false" ht="101.2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0"/>
  <sheetViews>
    <sheetView showFormulas="false" showGridLines="true" showRowColHeaders="true" showZeros="true" rightToLeft="false" tabSelected="false" showOutlineSymbols="true" defaultGridColor="true" view="normal" topLeftCell="B1" colorId="64" zoomScale="100" zoomScaleNormal="100" zoomScalePageLayoutView="100" workbookViewId="0">
      <selection pane="topLeft" activeCell="F10" activeCellId="0" sqref="F10"/>
    </sheetView>
  </sheetViews>
  <sheetFormatPr defaultColWidth="8.83203125" defaultRowHeight="15" zeroHeight="false" outlineLevelRow="0" outlineLevelCol="0"/>
  <cols>
    <col collapsed="false" customWidth="true" hidden="false" outlineLevel="0" max="1" min="1" style="1" width="48"/>
  </cols>
  <sheetData>
    <row r="1" customFormat="false" ht="15" hidden="false" customHeight="true" outlineLevel="0" collapsed="false">
      <c r="A1" s="1" t="s">
        <v>12</v>
      </c>
    </row>
    <row r="2" customFormat="false" ht="15" hidden="false" customHeight="true" outlineLevel="0" collapsed="false">
      <c r="A2" s="1" t="s">
        <v>50</v>
      </c>
    </row>
    <row r="3" customFormat="false" ht="15" hidden="false" customHeight="true" outlineLevel="0" collapsed="false">
      <c r="A3" s="1" t="s">
        <v>51</v>
      </c>
    </row>
    <row r="5" customFormat="false" ht="15" hidden="false" customHeight="true" outlineLevel="0" collapsed="false">
      <c r="A5" s="2" t="s">
        <v>23</v>
      </c>
    </row>
    <row r="7" customFormat="false" ht="15" hidden="false" customHeight="true" outlineLevel="0" collapsed="false">
      <c r="A7" s="10" t="s">
        <v>54</v>
      </c>
      <c r="B7" s="15" t="n">
        <v>2013</v>
      </c>
      <c r="C7" s="15" t="n">
        <v>2014</v>
      </c>
      <c r="D7" s="15" t="n">
        <v>2015</v>
      </c>
      <c r="E7" s="15" t="n">
        <v>2016</v>
      </c>
      <c r="F7" s="15" t="n">
        <v>2017</v>
      </c>
      <c r="G7" s="15" t="n">
        <v>2018</v>
      </c>
      <c r="H7" s="15" t="n">
        <v>2019</v>
      </c>
      <c r="I7" s="15" t="n">
        <v>2020</v>
      </c>
      <c r="J7" s="15" t="n">
        <v>2021</v>
      </c>
      <c r="K7" s="15" t="n">
        <v>2022</v>
      </c>
      <c r="L7" s="15" t="n">
        <v>2023</v>
      </c>
      <c r="M7" s="15" t="n">
        <v>2024</v>
      </c>
      <c r="N7" s="15" t="n">
        <v>2025</v>
      </c>
      <c r="O7" s="15" t="n">
        <v>2026</v>
      </c>
      <c r="P7" s="15" t="n">
        <v>2027</v>
      </c>
      <c r="Q7" s="15" t="n">
        <v>2028</v>
      </c>
      <c r="R7" s="15" t="n">
        <v>2029</v>
      </c>
      <c r="S7" s="15" t="n">
        <v>2030</v>
      </c>
      <c r="T7" s="15" t="n">
        <v>2031</v>
      </c>
      <c r="U7" s="15" t="n">
        <v>2032</v>
      </c>
      <c r="V7" s="15" t="n">
        <v>2033</v>
      </c>
      <c r="W7" s="15" t="n">
        <v>2034</v>
      </c>
      <c r="X7" s="15" t="n">
        <v>2035</v>
      </c>
      <c r="Y7" s="15" t="n">
        <v>2036</v>
      </c>
      <c r="Z7" s="15" t="n">
        <v>2037</v>
      </c>
      <c r="AA7" s="15" t="n">
        <v>2038</v>
      </c>
      <c r="AB7" s="15" t="n">
        <v>2039</v>
      </c>
      <c r="AC7" s="15" t="n">
        <v>2040</v>
      </c>
      <c r="AD7" s="15" t="n">
        <v>2041</v>
      </c>
      <c r="AE7" s="15" t="n">
        <v>2042</v>
      </c>
      <c r="AF7" s="15" t="n">
        <v>2043</v>
      </c>
      <c r="AG7" s="15" t="n">
        <v>2044</v>
      </c>
      <c r="AH7" s="15" t="n">
        <v>2045</v>
      </c>
      <c r="AI7" s="15" t="n">
        <v>2046</v>
      </c>
      <c r="AJ7" s="15" t="n">
        <v>2047</v>
      </c>
      <c r="AK7" s="15" t="n">
        <v>2048</v>
      </c>
      <c r="AL7" s="15" t="n">
        <v>2049</v>
      </c>
      <c r="AM7" s="15" t="n">
        <v>2050</v>
      </c>
    </row>
    <row r="8" customFormat="false" ht="15" hidden="false" customHeight="true" outlineLevel="0" collapsed="false">
      <c r="A8" s="1" t="s">
        <v>48</v>
      </c>
      <c r="B8" s="1" t="n">
        <v>1919</v>
      </c>
      <c r="C8" s="1" t="n">
        <v>1943.42857142857</v>
      </c>
      <c r="D8" s="1" t="n">
        <v>1967.85714285714</v>
      </c>
      <c r="E8" s="1" t="n">
        <v>1992.28571428571</v>
      </c>
      <c r="F8" s="1" t="n">
        <v>2016.71428571429</v>
      </c>
      <c r="G8" s="1" t="n">
        <v>2041.14285714286</v>
      </c>
      <c r="H8" s="1" t="n">
        <v>2065.57142857143</v>
      </c>
      <c r="I8" s="1" t="n">
        <v>2090</v>
      </c>
      <c r="J8" s="1" t="n">
        <v>2108.7</v>
      </c>
      <c r="K8" s="1" t="n">
        <v>2127.4</v>
      </c>
      <c r="L8" s="1" t="n">
        <v>2146.1</v>
      </c>
      <c r="M8" s="1" t="n">
        <v>2164.8</v>
      </c>
      <c r="N8" s="1" t="n">
        <v>2183.5</v>
      </c>
      <c r="O8" s="1" t="n">
        <v>2202.2</v>
      </c>
      <c r="P8" s="1" t="n">
        <v>2220.9</v>
      </c>
      <c r="Q8" s="1" t="n">
        <v>2239.6</v>
      </c>
      <c r="R8" s="1" t="n">
        <v>2258.3</v>
      </c>
      <c r="S8" s="1" t="n">
        <v>2277</v>
      </c>
      <c r="T8" s="1" t="n">
        <v>2282.1</v>
      </c>
      <c r="U8" s="1" t="n">
        <v>2287.2</v>
      </c>
      <c r="V8" s="1" t="n">
        <v>2292.3</v>
      </c>
      <c r="W8" s="1" t="n">
        <v>2297.4</v>
      </c>
      <c r="X8" s="1" t="n">
        <v>2302.5</v>
      </c>
      <c r="Y8" s="1" t="n">
        <v>2307.6</v>
      </c>
      <c r="Z8" s="1" t="n">
        <v>2312.7</v>
      </c>
      <c r="AA8" s="1" t="n">
        <v>2317.8</v>
      </c>
      <c r="AB8" s="1" t="n">
        <v>2322.9</v>
      </c>
      <c r="AC8" s="1" t="n">
        <v>2328</v>
      </c>
      <c r="AD8" s="1" t="n">
        <v>2326.2</v>
      </c>
      <c r="AE8" s="1" t="n">
        <v>2324.4</v>
      </c>
      <c r="AF8" s="1" t="n">
        <v>2322.6</v>
      </c>
      <c r="AG8" s="1" t="n">
        <v>2320.8</v>
      </c>
      <c r="AH8" s="1" t="n">
        <v>2319</v>
      </c>
      <c r="AI8" s="1" t="n">
        <v>2317.2</v>
      </c>
      <c r="AJ8" s="1" t="n">
        <v>2315.4</v>
      </c>
      <c r="AK8" s="1" t="n">
        <v>2313.6</v>
      </c>
      <c r="AL8" s="1" t="n">
        <v>2311.8</v>
      </c>
      <c r="AM8" s="1" t="n">
        <v>2310</v>
      </c>
    </row>
    <row r="9" customFormat="false" ht="15" hidden="false" customHeight="true" outlineLevel="0" collapsed="false">
      <c r="A9" s="1" t="s">
        <v>53</v>
      </c>
      <c r="B9" s="17" t="n">
        <v>1919</v>
      </c>
      <c r="C9" s="17" t="n">
        <v>1943.42857142857</v>
      </c>
      <c r="D9" s="17" t="n">
        <v>1967.85714285714</v>
      </c>
      <c r="E9" s="17" t="n">
        <v>1992.28571428571</v>
      </c>
      <c r="F9" s="17" t="n">
        <v>2016.71428571429</v>
      </c>
      <c r="G9" s="17" t="n">
        <v>2041.14285714286</v>
      </c>
      <c r="H9" s="17" t="n">
        <v>2065.57142857143</v>
      </c>
      <c r="I9" s="17" t="n">
        <v>2090</v>
      </c>
      <c r="J9" s="17" t="n">
        <v>2108.7</v>
      </c>
      <c r="K9" s="17" t="n">
        <v>2127.4</v>
      </c>
      <c r="L9" s="17" t="n">
        <v>2146.1</v>
      </c>
      <c r="M9" s="17" t="n">
        <v>2164.8</v>
      </c>
      <c r="N9" s="17" t="n">
        <v>2183.5</v>
      </c>
      <c r="O9" s="17" t="n">
        <v>2202.2</v>
      </c>
      <c r="P9" s="17" t="n">
        <v>2220.9</v>
      </c>
      <c r="Q9" s="17" t="n">
        <v>2239.6</v>
      </c>
      <c r="R9" s="17" t="n">
        <v>2258.3</v>
      </c>
      <c r="S9" s="17" t="n">
        <v>2277</v>
      </c>
      <c r="T9" s="17" t="n">
        <v>2282.1</v>
      </c>
      <c r="U9" s="17" t="n">
        <v>2287.2</v>
      </c>
      <c r="V9" s="17" t="n">
        <v>2292.3</v>
      </c>
      <c r="W9" s="17" t="n">
        <v>2297.4</v>
      </c>
      <c r="X9" s="17" t="n">
        <v>2302.5</v>
      </c>
      <c r="Y9" s="17" t="n">
        <v>2307.6</v>
      </c>
      <c r="Z9" s="17" t="n">
        <v>2312.7</v>
      </c>
      <c r="AA9" s="17" t="n">
        <v>2317.8</v>
      </c>
      <c r="AB9" s="17" t="n">
        <v>2322.9</v>
      </c>
      <c r="AC9" s="17" t="n">
        <v>2328</v>
      </c>
      <c r="AD9" s="17" t="n">
        <v>2326.2</v>
      </c>
      <c r="AE9" s="17" t="n">
        <v>2324.4</v>
      </c>
      <c r="AF9" s="17" t="n">
        <v>2322.6</v>
      </c>
      <c r="AG9" s="17" t="n">
        <v>2320.8</v>
      </c>
      <c r="AH9" s="17" t="n">
        <v>2319</v>
      </c>
      <c r="AI9" s="17" t="n">
        <v>2317.2</v>
      </c>
      <c r="AJ9" s="17" t="n">
        <v>2315.4</v>
      </c>
      <c r="AK9" s="17" t="n">
        <v>2313.6</v>
      </c>
      <c r="AL9" s="1" t="n">
        <v>2311.8</v>
      </c>
      <c r="AM9" s="1" t="n">
        <v>2310</v>
      </c>
    </row>
    <row r="10" customFormat="false" ht="15" hidden="false" customHeight="true" outlineLevel="0" collapsed="false">
      <c r="A10" s="2" t="s">
        <v>49</v>
      </c>
      <c r="B10" s="18"/>
      <c r="C10" s="18"/>
      <c r="D10" s="18"/>
      <c r="E10" s="18"/>
      <c r="F10" s="18"/>
      <c r="G10" s="18"/>
      <c r="H10" s="18" t="n">
        <v>1</v>
      </c>
      <c r="I10" s="18" t="n">
        <f aca="false">I9/$H$9</f>
        <v>1.01182654402102</v>
      </c>
      <c r="J10" s="18" t="n">
        <f aca="false">J9/$H$9</f>
        <v>1.02087972888858</v>
      </c>
      <c r="K10" s="18" t="n">
        <f aca="false">K9/$H$9</f>
        <v>1.02993291375614</v>
      </c>
      <c r="L10" s="18" t="n">
        <f aca="false">L9/$H$9</f>
        <v>1.03898609862369</v>
      </c>
      <c r="M10" s="18" t="n">
        <f aca="false">M9/$H$9</f>
        <v>1.04803928349125</v>
      </c>
      <c r="N10" s="18" t="n">
        <f aca="false">N9/$H$9</f>
        <v>1.05709246835881</v>
      </c>
      <c r="O10" s="18" t="n">
        <f aca="false">O9/$H$9</f>
        <v>1.06614565322636</v>
      </c>
      <c r="P10" s="18" t="n">
        <f aca="false">P9/$H$9</f>
        <v>1.07519883809392</v>
      </c>
      <c r="Q10" s="18" t="n">
        <f aca="false">Q9/$H$9</f>
        <v>1.08425202296148</v>
      </c>
      <c r="R10" s="18" t="n">
        <f aca="false">R9/$H$9</f>
        <v>1.09330520782903</v>
      </c>
      <c r="S10" s="18" t="n">
        <f aca="false">S9/$H$9</f>
        <v>1.10235839269659</v>
      </c>
      <c r="T10" s="18" t="n">
        <f aca="false">T9/$H$9</f>
        <v>1.10482744311501</v>
      </c>
      <c r="U10" s="18" t="n">
        <f aca="false">U9/$H$9</f>
        <v>1.10729649353344</v>
      </c>
      <c r="V10" s="18" t="n">
        <f aca="false">V9/$H$9</f>
        <v>1.10976554395186</v>
      </c>
      <c r="W10" s="18" t="n">
        <f aca="false">W9/$H$9</f>
        <v>1.11223459437029</v>
      </c>
      <c r="X10" s="18" t="n">
        <f aca="false">X9/$H$9</f>
        <v>1.11470364478871</v>
      </c>
      <c r="Y10" s="18" t="n">
        <f aca="false">Y9/$H$9</f>
        <v>1.11717269520714</v>
      </c>
      <c r="Z10" s="18" t="n">
        <f aca="false">Z9/$H$9</f>
        <v>1.11964174562556</v>
      </c>
      <c r="AA10" s="18" t="n">
        <f aca="false">AA9/$H$9</f>
        <v>1.12211079604399</v>
      </c>
      <c r="AB10" s="18" t="n">
        <f aca="false">AB9/$H$9</f>
        <v>1.12457984646241</v>
      </c>
      <c r="AC10" s="18" t="n">
        <f aca="false">AC9/$H$9</f>
        <v>1.12704889688083</v>
      </c>
      <c r="AD10" s="18" t="n">
        <f aca="false">AD9/$H$9</f>
        <v>1.12617746732139</v>
      </c>
      <c r="AE10" s="18" t="n">
        <f aca="false">AE9/$H$9</f>
        <v>1.12530603776195</v>
      </c>
      <c r="AF10" s="18" t="n">
        <f aca="false">AF9/$H$9</f>
        <v>1.1244346082025</v>
      </c>
      <c r="AG10" s="18" t="n">
        <f aca="false">AG9/$H$9</f>
        <v>1.12356317864306</v>
      </c>
      <c r="AH10" s="18" t="n">
        <f aca="false">AH9/$H$9</f>
        <v>1.12269174908362</v>
      </c>
      <c r="AI10" s="18" t="n">
        <f aca="false">AI9/$H$9</f>
        <v>1.12182031952417</v>
      </c>
      <c r="AJ10" s="18" t="n">
        <f aca="false">AJ9/$H$9</f>
        <v>1.12094888996473</v>
      </c>
      <c r="AK10" s="18" t="n">
        <f aca="false">AK9/$H$9</f>
        <v>1.12007746040528</v>
      </c>
      <c r="AL10" s="18" t="n">
        <f aca="false">AL9/$H$9</f>
        <v>1.11920603084584</v>
      </c>
      <c r="AM10" s="18" t="n">
        <f aca="false">AM9/$H$9</f>
        <v>1.1183346012864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8"/>
  <sheetViews>
    <sheetView showFormulas="false" showGridLines="true" showRowColHeaders="true" showZeros="true" rightToLeft="false" tabSelected="false" showOutlineSymbols="true" defaultGridColor="true" view="normal" topLeftCell="A4" colorId="64" zoomScale="80" zoomScaleNormal="80" zoomScalePageLayoutView="100" workbookViewId="0">
      <selection pane="topLeft" activeCell="J16" activeCellId="0" sqref="J16"/>
    </sheetView>
  </sheetViews>
  <sheetFormatPr defaultColWidth="8.83203125" defaultRowHeight="15" zeroHeight="false" outlineLevelRow="0" outlineLevelCol="0"/>
  <cols>
    <col collapsed="false" customWidth="true" hidden="false" outlineLevel="0" max="1" min="1" style="5" width="44.16"/>
    <col collapsed="false" customWidth="true" hidden="false" outlineLevel="0" max="2" min="2" style="1" width="17.5"/>
    <col collapsed="false" customWidth="true" hidden="false" outlineLevel="0" max="3" min="3" style="1" width="15.51"/>
    <col collapsed="false" customWidth="true" hidden="false" outlineLevel="0" max="4" min="4" style="1" width="12"/>
    <col collapsed="false" customWidth="true" hidden="false" outlineLevel="0" max="5" min="5" style="1" width="14.52"/>
    <col collapsed="false" customWidth="true" hidden="false" outlineLevel="0" max="6" min="6" style="1" width="17.5"/>
    <col collapsed="false" customWidth="true" hidden="false" outlineLevel="0" max="8" min="7" style="1" width="12.5"/>
  </cols>
  <sheetData>
    <row r="1" customFormat="false" ht="15" hidden="false" customHeight="true" outlineLevel="0" collapsed="false">
      <c r="A1" s="5" t="s">
        <v>12</v>
      </c>
    </row>
    <row r="2" customFormat="false" ht="15" hidden="false" customHeight="true" outlineLevel="0" collapsed="false">
      <c r="A2" s="5" t="s">
        <v>55</v>
      </c>
    </row>
    <row r="3" customFormat="false" ht="15" hidden="false" customHeight="true" outlineLevel="0" collapsed="false">
      <c r="A3" s="5" t="s">
        <v>56</v>
      </c>
    </row>
    <row r="5" customFormat="false" ht="15" hidden="false" customHeight="true" outlineLevel="0" collapsed="false">
      <c r="A5" s="2" t="s">
        <v>57</v>
      </c>
    </row>
    <row r="6" customFormat="false" ht="15" hidden="false" customHeight="true" outlineLevel="0" collapsed="false">
      <c r="A6" s="7" t="s">
        <v>24</v>
      </c>
    </row>
    <row r="8" s="20" customFormat="true" ht="21" hidden="false" customHeight="true" outlineLevel="0" collapsed="false">
      <c r="A8" s="19" t="s">
        <v>58</v>
      </c>
    </row>
    <row r="9" customFormat="false" ht="15" hidden="false" customHeight="true" outlineLevel="0" collapsed="false">
      <c r="A9" s="5" t="s">
        <v>59</v>
      </c>
      <c r="B9" s="21" t="s">
        <v>60</v>
      </c>
      <c r="C9" s="21" t="s">
        <v>61</v>
      </c>
      <c r="D9" s="21" t="s">
        <v>62</v>
      </c>
      <c r="E9" s="21" t="s">
        <v>63</v>
      </c>
      <c r="F9" s="21" t="s">
        <v>64</v>
      </c>
      <c r="G9" s="21" t="s">
        <v>65</v>
      </c>
      <c r="I9" s="21" t="s">
        <v>42</v>
      </c>
      <c r="J9" s="21" t="s">
        <v>44</v>
      </c>
    </row>
    <row r="10" customFormat="false" ht="15" hidden="false" customHeight="true" outlineLevel="0" collapsed="false">
      <c r="A10" s="5" t="n">
        <v>2012</v>
      </c>
      <c r="B10" s="1" t="n">
        <v>4707539135.46979</v>
      </c>
      <c r="C10" s="1" t="n">
        <v>5864406646.30961</v>
      </c>
      <c r="D10" s="1" t="n">
        <v>57319678536.6948</v>
      </c>
      <c r="E10" s="1" t="n">
        <v>81071124337.6643</v>
      </c>
      <c r="F10" s="1" t="n">
        <v>220857055225.713</v>
      </c>
      <c r="G10" s="1" t="n">
        <v>392779892853.223</v>
      </c>
    </row>
    <row r="11" customFormat="false" ht="15" hidden="false" customHeight="true" outlineLevel="0" collapsed="false">
      <c r="A11" s="5" t="n">
        <v>2013</v>
      </c>
      <c r="B11" s="1" t="n">
        <v>5147974507.99755</v>
      </c>
      <c r="C11" s="1" t="n">
        <v>6019779618.95436</v>
      </c>
      <c r="D11" s="1" t="n">
        <v>59531429890.0577</v>
      </c>
      <c r="E11" s="1" t="n">
        <v>81278333080.9546</v>
      </c>
      <c r="F11" s="1" t="n">
        <v>235419740658.729</v>
      </c>
      <c r="G11" s="1" t="n">
        <v>428434472369.01</v>
      </c>
    </row>
    <row r="12" customFormat="false" ht="15" hidden="false" customHeight="true" outlineLevel="0" collapsed="false">
      <c r="A12" s="5" t="n">
        <v>2014</v>
      </c>
      <c r="B12" s="1" t="n">
        <v>5563588720.59485</v>
      </c>
      <c r="C12" s="1" t="n">
        <v>6010729048.74836</v>
      </c>
      <c r="D12" s="1" t="n">
        <v>61476826454.3857</v>
      </c>
      <c r="E12" s="1" t="n">
        <v>81183137848.2695</v>
      </c>
      <c r="F12" s="1" t="n">
        <v>247894263667.046</v>
      </c>
      <c r="G12" s="1" t="n">
        <v>462316819099.134</v>
      </c>
    </row>
    <row r="13" customFormat="false" ht="15" hidden="false" customHeight="true" outlineLevel="0" collapsed="false">
      <c r="A13" s="5" t="n">
        <v>2015</v>
      </c>
      <c r="B13" s="1" t="n">
        <v>5911125842.54774</v>
      </c>
      <c r="C13" s="1" t="n">
        <v>5920048507.64805</v>
      </c>
      <c r="D13" s="1" t="n">
        <v>62681756331.7984</v>
      </c>
      <c r="E13" s="1" t="n">
        <v>80293549331.4796</v>
      </c>
      <c r="F13" s="1" t="n">
        <v>256888042266.362</v>
      </c>
      <c r="G13" s="1" t="n">
        <v>484636452369.758</v>
      </c>
    </row>
    <row r="14" customFormat="false" ht="15" hidden="false" customHeight="true" outlineLevel="0" collapsed="false">
      <c r="A14" s="5" t="n">
        <v>2016</v>
      </c>
      <c r="B14" s="1" t="n">
        <v>6210849851.93962</v>
      </c>
      <c r="C14" s="1" t="n">
        <v>5813768447.71094</v>
      </c>
      <c r="D14" s="1" t="n">
        <v>63620828144.3306</v>
      </c>
      <c r="E14" s="1" t="n">
        <v>79327501392.4698</v>
      </c>
      <c r="F14" s="1" t="n">
        <v>264764232442.998</v>
      </c>
      <c r="G14" s="1" t="n">
        <v>502424903639.166</v>
      </c>
    </row>
    <row r="15" customFormat="false" ht="15" hidden="false" customHeight="true" outlineLevel="0" collapsed="false">
      <c r="A15" s="5" t="n">
        <v>2017</v>
      </c>
      <c r="B15" s="1" t="n">
        <v>6512024147.16928</v>
      </c>
      <c r="C15" s="1" t="n">
        <v>5721509814.29195</v>
      </c>
      <c r="D15" s="1" t="n">
        <v>64143042061.7966</v>
      </c>
      <c r="E15" s="1" t="n">
        <v>78549522091.9601</v>
      </c>
      <c r="F15" s="1" t="n">
        <v>273135442971.478</v>
      </c>
      <c r="G15" s="1" t="n">
        <v>521364980148.941</v>
      </c>
    </row>
    <row r="16" customFormat="false" ht="15" hidden="false" customHeight="true" outlineLevel="0" collapsed="false">
      <c r="A16" s="5" t="n">
        <v>2018</v>
      </c>
      <c r="B16" s="1" t="n">
        <v>6804841481.97061</v>
      </c>
      <c r="C16" s="1" t="n">
        <v>5643682018.76692</v>
      </c>
      <c r="D16" s="1" t="n">
        <v>64683724048.6833</v>
      </c>
      <c r="E16" s="1" t="n">
        <v>77913590741.1954</v>
      </c>
      <c r="F16" s="1" t="n">
        <v>281600867960.22</v>
      </c>
      <c r="G16" s="1" t="n">
        <v>540632477488.331</v>
      </c>
    </row>
    <row r="17" customFormat="false" ht="15" hidden="false" customHeight="true" outlineLevel="0" collapsed="false">
      <c r="A17" s="5" t="n">
        <v>2019</v>
      </c>
      <c r="B17" s="1" t="n">
        <v>7089636011.50606</v>
      </c>
      <c r="C17" s="1" t="n">
        <v>5584712159.65523</v>
      </c>
      <c r="D17" s="1" t="n">
        <v>65422928488.2278</v>
      </c>
      <c r="E17" s="1" t="n">
        <v>77385933794.4079</v>
      </c>
      <c r="F17" s="1" t="n">
        <v>290198152659.312</v>
      </c>
      <c r="G17" s="1" t="n">
        <v>558745143522.883</v>
      </c>
      <c r="I17" s="1" t="n">
        <v>1</v>
      </c>
      <c r="J17" s="1" t="n">
        <v>1</v>
      </c>
    </row>
    <row r="18" customFormat="false" ht="15" hidden="false" customHeight="true" outlineLevel="0" collapsed="false">
      <c r="A18" s="5" t="n">
        <v>2020</v>
      </c>
      <c r="B18" s="1" t="n">
        <v>7366591295.81004</v>
      </c>
      <c r="C18" s="1" t="n">
        <v>5539642892.7056</v>
      </c>
      <c r="D18" s="1" t="n">
        <v>66228647664.035</v>
      </c>
      <c r="E18" s="1" t="n">
        <v>77003673028.3565</v>
      </c>
      <c r="F18" s="1" t="n">
        <v>295282330370.685</v>
      </c>
      <c r="G18" s="1" t="n">
        <v>570186397812.86</v>
      </c>
      <c r="I18" s="1" t="n">
        <f aca="false">B18/$B$17</f>
        <v>1.03906481007692</v>
      </c>
      <c r="J18" s="1" t="n">
        <f aca="false">AVERAGE(C18:G18)/AVERAGE($C$17:$G$17)</f>
        <v>1.01694895841319</v>
      </c>
    </row>
    <row r="19" customFormat="false" ht="15" hidden="false" customHeight="true" outlineLevel="0" collapsed="false">
      <c r="A19" s="5" t="n">
        <v>2021</v>
      </c>
      <c r="B19" s="1" t="n">
        <v>7546927437.00193</v>
      </c>
      <c r="C19" s="1" t="n">
        <v>5464020179.22902</v>
      </c>
      <c r="D19" s="1" t="n">
        <v>67205104893.7339</v>
      </c>
      <c r="E19" s="1" t="n">
        <v>76284528605.0501</v>
      </c>
      <c r="F19" s="1" t="n">
        <v>297629253975.151</v>
      </c>
      <c r="G19" s="1" t="n">
        <v>574704967146.174</v>
      </c>
      <c r="I19" s="1" t="n">
        <f aca="false">B19/$B$17</f>
        <v>1.06450139679297</v>
      </c>
      <c r="J19" s="1" t="n">
        <f aca="false">AVERAGE(C19:G19)/AVERAGE($C$17:$G$17)</f>
        <v>1.02401495911793</v>
      </c>
    </row>
    <row r="20" customFormat="false" ht="15" hidden="false" customHeight="true" outlineLevel="0" collapsed="false">
      <c r="A20" s="5" t="n">
        <v>2022</v>
      </c>
      <c r="B20" s="1" t="n">
        <v>7635916668.5563</v>
      </c>
      <c r="C20" s="1" t="n">
        <v>5355043608.34373</v>
      </c>
      <c r="D20" s="1" t="n">
        <v>68156448750.6659</v>
      </c>
      <c r="E20" s="1" t="n">
        <v>75201661186.7811</v>
      </c>
      <c r="F20" s="1" t="n">
        <v>298751082962.196</v>
      </c>
      <c r="G20" s="1" t="n">
        <v>575911657602.55</v>
      </c>
      <c r="I20" s="1" t="n">
        <f aca="false">B20/$B$17</f>
        <v>1.07705341376675</v>
      </c>
      <c r="J20" s="1" t="n">
        <f aca="false">AVERAGE(C20:G20)/AVERAGE($C$17:$G$17)</f>
        <v>1.02610855394301</v>
      </c>
    </row>
    <row r="21" customFormat="false" ht="15" hidden="false" customHeight="true" outlineLevel="0" collapsed="false">
      <c r="A21" s="5" t="n">
        <v>2023</v>
      </c>
      <c r="B21" s="1" t="n">
        <v>7720856641.67674</v>
      </c>
      <c r="C21" s="1" t="n">
        <v>5245934363.3997</v>
      </c>
      <c r="D21" s="1" t="n">
        <v>68798745571.778</v>
      </c>
      <c r="E21" s="1" t="n">
        <v>74200664140.8303</v>
      </c>
      <c r="F21" s="1" t="n">
        <v>299900485436.013</v>
      </c>
      <c r="G21" s="1" t="n">
        <v>578183159343.664</v>
      </c>
      <c r="I21" s="1" t="n">
        <f aca="false">B21/$B$17</f>
        <v>1.08903427893142</v>
      </c>
      <c r="J21" s="1" t="n">
        <f aca="false">AVERAGE(C21:G21)/AVERAGE($C$17:$G$17)</f>
        <v>1.02906953416156</v>
      </c>
    </row>
    <row r="22" customFormat="false" ht="15" hidden="false" customHeight="true" outlineLevel="0" collapsed="false">
      <c r="A22" s="5" t="n">
        <v>2024</v>
      </c>
      <c r="B22" s="1" t="n">
        <v>7802167959.16288</v>
      </c>
      <c r="C22" s="1" t="n">
        <v>5145626484.02648</v>
      </c>
      <c r="D22" s="1" t="n">
        <v>69051337682.9339</v>
      </c>
      <c r="E22" s="1" t="n">
        <v>73305533022.0894</v>
      </c>
      <c r="F22" s="1" t="n">
        <v>301267264093.539</v>
      </c>
      <c r="G22" s="1" t="n">
        <v>580424529235.989</v>
      </c>
      <c r="I22" s="1" t="n">
        <f aca="false">B22/$B$17</f>
        <v>1.10050331871769</v>
      </c>
      <c r="J22" s="1" t="n">
        <f aca="false">AVERAGE(C22:G22)/AVERAGE($C$17:$G$17)</f>
        <v>1.0319424868692</v>
      </c>
    </row>
    <row r="23" customFormat="false" ht="15" hidden="false" customHeight="true" outlineLevel="0" collapsed="false">
      <c r="A23" s="5" t="n">
        <v>2025</v>
      </c>
      <c r="B23" s="1" t="n">
        <v>7880152551.6485</v>
      </c>
      <c r="C23" s="1" t="n">
        <v>5055214875.56395</v>
      </c>
      <c r="D23" s="1" t="n">
        <v>68996034871.9712</v>
      </c>
      <c r="E23" s="1" t="n">
        <v>72477885262.225</v>
      </c>
      <c r="F23" s="1" t="n">
        <v>303646644779.035</v>
      </c>
      <c r="G23" s="1" t="n">
        <v>585730870851.071</v>
      </c>
      <c r="I23" s="1" t="n">
        <f aca="false">B23/$B$17</f>
        <v>1.11150312073278</v>
      </c>
      <c r="J23" s="1" t="n">
        <f aca="false">AVERAGE(C23:G23)/AVERAGE($C$17:$G$17)</f>
        <v>1.03867277060682</v>
      </c>
    </row>
    <row r="24" customFormat="false" ht="15" hidden="false" customHeight="true" outlineLevel="0" collapsed="false">
      <c r="A24" s="5" t="n">
        <v>2026</v>
      </c>
      <c r="B24" s="1" t="n">
        <v>7965852541.48776</v>
      </c>
      <c r="C24" s="1" t="n">
        <v>4971435067.14938</v>
      </c>
      <c r="D24" s="1" t="n">
        <v>68859511006.2467</v>
      </c>
      <c r="E24" s="1" t="n">
        <v>71831839033.7719</v>
      </c>
      <c r="F24" s="1" t="n">
        <v>305796709411.012</v>
      </c>
      <c r="G24" s="1" t="n">
        <v>591825498368.297</v>
      </c>
      <c r="I24" s="1" t="n">
        <f aca="false">B24/$B$17</f>
        <v>1.12359118698896</v>
      </c>
      <c r="J24" s="1" t="n">
        <f aca="false">AVERAGE(C24:G24)/AVERAGE($C$17:$G$17)</f>
        <v>1.04607081480224</v>
      </c>
    </row>
    <row r="25" customFormat="false" ht="15" hidden="false" customHeight="true" outlineLevel="0" collapsed="false">
      <c r="A25" s="5" t="n">
        <v>2027</v>
      </c>
      <c r="B25" s="1" t="n">
        <v>8070121880.30922</v>
      </c>
      <c r="C25" s="1" t="n">
        <v>4908015996.21213</v>
      </c>
      <c r="D25" s="1" t="n">
        <v>68880423169.5469</v>
      </c>
      <c r="E25" s="1" t="n">
        <v>71439453976.7677</v>
      </c>
      <c r="F25" s="1" t="n">
        <v>308659993246.886</v>
      </c>
      <c r="G25" s="1" t="n">
        <v>599394524453.481</v>
      </c>
      <c r="I25" s="1" t="n">
        <f aca="false">B25/$B$17</f>
        <v>1.13829847783608</v>
      </c>
      <c r="J25" s="1" t="n">
        <f aca="false">AVERAGE(C25:G25)/AVERAGE($C$17:$G$17)</f>
        <v>1.0560949282697</v>
      </c>
    </row>
    <row r="26" customFormat="false" ht="15" hidden="false" customHeight="true" outlineLevel="0" collapsed="false">
      <c r="A26" s="5" t="n">
        <v>2028</v>
      </c>
      <c r="B26" s="1" t="n">
        <v>8194400915.37167</v>
      </c>
      <c r="C26" s="1" t="n">
        <v>4864103844.36512</v>
      </c>
      <c r="D26" s="1" t="n">
        <v>68951054947.7653</v>
      </c>
      <c r="E26" s="1" t="n">
        <v>71262968355.0368</v>
      </c>
      <c r="F26" s="1" t="n">
        <v>312223746475.86</v>
      </c>
      <c r="G26" s="1" t="n">
        <v>608749504402.872</v>
      </c>
      <c r="I26" s="1" t="n">
        <f aca="false">B26/$B$17</f>
        <v>1.15582815564475</v>
      </c>
      <c r="J26" s="1" t="n">
        <f aca="false">AVERAGE(C26:G26)/AVERAGE($C$17:$G$17)</f>
        <v>1.06889799166694</v>
      </c>
    </row>
    <row r="27" customFormat="false" ht="15" hidden="false" customHeight="true" outlineLevel="0" collapsed="false">
      <c r="A27" s="5" t="n">
        <v>2029</v>
      </c>
      <c r="B27" s="1" t="n">
        <v>8340315998.84389</v>
      </c>
      <c r="C27" s="1" t="n">
        <v>4837966533.1341</v>
      </c>
      <c r="D27" s="1" t="n">
        <v>69228732644.9136</v>
      </c>
      <c r="E27" s="1" t="n">
        <v>71331516071.3505</v>
      </c>
      <c r="F27" s="1" t="n">
        <v>316645217672.992</v>
      </c>
      <c r="G27" s="1" t="n">
        <v>619179020974.423</v>
      </c>
      <c r="I27" s="1" t="n">
        <f aca="false">B27/$B$17</f>
        <v>1.1764096189576</v>
      </c>
      <c r="J27" s="1" t="n">
        <f aca="false">AVERAGE(C27:G27)/AVERAGE($C$17:$G$17)</f>
        <v>1.08410957796016</v>
      </c>
    </row>
    <row r="28" customFormat="false" ht="15" hidden="false" customHeight="true" outlineLevel="0" collapsed="false">
      <c r="A28" s="5" t="n">
        <v>2030</v>
      </c>
      <c r="B28" s="1" t="n">
        <v>8509714169.7381</v>
      </c>
      <c r="C28" s="1" t="n">
        <v>4833302921.4326</v>
      </c>
      <c r="D28" s="1" t="n">
        <v>69702416516.4899</v>
      </c>
      <c r="E28" s="1" t="n">
        <v>71577876120.7203</v>
      </c>
      <c r="F28" s="1" t="n">
        <v>320477365096.005</v>
      </c>
      <c r="G28" s="1" t="n">
        <v>628565348302.614</v>
      </c>
      <c r="I28" s="1" t="n">
        <f aca="false">B28/$B$17</f>
        <v>1.20030339440944</v>
      </c>
      <c r="J28" s="1" t="n">
        <f aca="false">AVERAGE(C28:G28)/AVERAGE($C$17:$G$17)</f>
        <v>1.09808063976571</v>
      </c>
    </row>
    <row r="29" customFormat="false" ht="15" hidden="false" customHeight="true" outlineLevel="0" collapsed="false">
      <c r="A29" s="5" t="n">
        <v>2031</v>
      </c>
      <c r="B29" s="1" t="n">
        <v>8704443429.83687</v>
      </c>
      <c r="C29" s="1" t="n">
        <v>4844649824.70794</v>
      </c>
      <c r="D29" s="1" t="n">
        <v>70338112911.1758</v>
      </c>
      <c r="E29" s="1" t="n">
        <v>72049474721.5032</v>
      </c>
      <c r="F29" s="1" t="n">
        <v>326311360542.049</v>
      </c>
      <c r="G29" s="1" t="n">
        <v>642475660079.263</v>
      </c>
      <c r="I29" s="1" t="n">
        <f aca="false">B29/$B$17</f>
        <v>1.22777014443479</v>
      </c>
      <c r="J29" s="1" t="n">
        <f aca="false">AVERAGE(C29:G29)/AVERAGE($C$17:$G$17)</f>
        <v>1.11899929798033</v>
      </c>
    </row>
    <row r="30" customFormat="false" ht="15" hidden="false" customHeight="true" outlineLevel="0" collapsed="false">
      <c r="A30" s="5" t="n">
        <v>2032</v>
      </c>
      <c r="B30" s="1" t="n">
        <v>8915960133.07587</v>
      </c>
      <c r="C30" s="1" t="n">
        <v>4863999544.21698</v>
      </c>
      <c r="D30" s="1" t="n">
        <v>70862674559.2336</v>
      </c>
      <c r="E30" s="1" t="n">
        <v>72699630087.1848</v>
      </c>
      <c r="F30" s="1" t="n">
        <v>332535366476.038</v>
      </c>
      <c r="G30" s="1" t="n">
        <v>657509474283.277</v>
      </c>
      <c r="I30" s="1" t="n">
        <f aca="false">B30/$B$17</f>
        <v>1.25760477951277</v>
      </c>
      <c r="J30" s="1" t="n">
        <f aca="false">AVERAGE(C30:G30)/AVERAGE($C$17:$G$17)</f>
        <v>1.14151113679081</v>
      </c>
    </row>
    <row r="31" customFormat="false" ht="15" hidden="false" customHeight="true" outlineLevel="0" collapsed="false">
      <c r="A31" s="5" t="n">
        <v>2033</v>
      </c>
      <c r="B31" s="1" t="n">
        <v>9130662571.89582</v>
      </c>
      <c r="C31" s="1" t="n">
        <v>4886816710.8275</v>
      </c>
      <c r="D31" s="1" t="n">
        <v>71490606847.7011</v>
      </c>
      <c r="E31" s="1" t="n">
        <v>73471273473.0825</v>
      </c>
      <c r="F31" s="1" t="n">
        <v>338923327164.389</v>
      </c>
      <c r="G31" s="1" t="n">
        <v>672462521656.28</v>
      </c>
      <c r="I31" s="1" t="n">
        <f aca="false">B31/$B$17</f>
        <v>1.28788876566827</v>
      </c>
      <c r="J31" s="1" t="n">
        <f aca="false">AVERAGE(C31:G31)/AVERAGE($C$17:$G$17)</f>
        <v>1.16433532144978</v>
      </c>
    </row>
    <row r="32" customFormat="false" ht="15" hidden="false" customHeight="true" outlineLevel="0" collapsed="false">
      <c r="A32" s="5" t="n">
        <v>2034</v>
      </c>
      <c r="B32" s="1" t="n">
        <v>9344451334.12245</v>
      </c>
      <c r="C32" s="1" t="n">
        <v>4910806640.62278</v>
      </c>
      <c r="D32" s="1" t="n">
        <v>72210833198.7761</v>
      </c>
      <c r="E32" s="1" t="n">
        <v>74319942344.1627</v>
      </c>
      <c r="F32" s="1" t="n">
        <v>345258941834.913</v>
      </c>
      <c r="G32" s="1" t="n">
        <v>687044145573.582</v>
      </c>
      <c r="I32" s="1" t="n">
        <f aca="false">B32/$B$17</f>
        <v>1.31804387685869</v>
      </c>
      <c r="J32" s="1" t="n">
        <f aca="false">AVERAGE(C32:G32)/AVERAGE($C$17:$G$17)</f>
        <v>1.18690555263524</v>
      </c>
    </row>
    <row r="33" customFormat="false" ht="15" hidden="false" customHeight="true" outlineLevel="0" collapsed="false">
      <c r="A33" s="5" t="n">
        <v>2035</v>
      </c>
      <c r="B33" s="1" t="n">
        <v>9557254179.58372</v>
      </c>
      <c r="C33" s="1" t="n">
        <v>4936339409.04092</v>
      </c>
      <c r="D33" s="1" t="n">
        <v>72970037331.1113</v>
      </c>
      <c r="E33" s="1" t="n">
        <v>75213863349.4788</v>
      </c>
      <c r="F33" s="1" t="n">
        <v>350110960990.083</v>
      </c>
      <c r="G33" s="1" t="n">
        <v>698101007794.987</v>
      </c>
      <c r="I33" s="1" t="n">
        <f aca="false">B33/$B$17</f>
        <v>1.34805992353809</v>
      </c>
      <c r="J33" s="1" t="n">
        <f aca="false">AVERAGE(C33:G33)/AVERAGE($C$17:$G$17)</f>
        <v>1.20454005487883</v>
      </c>
    </row>
    <row r="34" customFormat="false" ht="15" hidden="false" customHeight="true" outlineLevel="0" collapsed="false">
      <c r="A34" s="5" t="n">
        <v>2036</v>
      </c>
      <c r="B34" s="1" t="n">
        <v>9765987914.07228</v>
      </c>
      <c r="C34" s="1" t="n">
        <v>4962347419.78195</v>
      </c>
      <c r="D34" s="1" t="n">
        <v>73735699337.6998</v>
      </c>
      <c r="E34" s="1" t="n">
        <v>76121422983.5939</v>
      </c>
      <c r="F34" s="1" t="n">
        <v>356208920607.417</v>
      </c>
      <c r="G34" s="1" t="n">
        <v>711791341704.425</v>
      </c>
      <c r="I34" s="1" t="n">
        <f aca="false">B34/$B$17</f>
        <v>1.37750201818862</v>
      </c>
      <c r="J34" s="1" t="n">
        <f aca="false">AVERAGE(C34:G34)/AVERAGE($C$17:$G$17)</f>
        <v>1.22608495491322</v>
      </c>
    </row>
    <row r="35" customFormat="false" ht="15" hidden="false" customHeight="true" outlineLevel="0" collapsed="false">
      <c r="A35" s="5" t="n">
        <v>2037</v>
      </c>
      <c r="B35" s="1" t="n">
        <v>9970768211.84078</v>
      </c>
      <c r="C35" s="1" t="n">
        <v>4990651692.88432</v>
      </c>
      <c r="D35" s="1" t="n">
        <v>74523515776.2837</v>
      </c>
      <c r="E35" s="1" t="n">
        <v>77018368976.2567</v>
      </c>
      <c r="F35" s="1" t="n">
        <v>362389339701.226</v>
      </c>
      <c r="G35" s="1" t="n">
        <v>725008633274.846</v>
      </c>
      <c r="I35" s="1" t="n">
        <f aca="false">B35/$B$17</f>
        <v>1.40638647677523</v>
      </c>
      <c r="J35" s="1" t="n">
        <f aca="false">AVERAGE(C35:G35)/AVERAGE($C$17:$G$17)</f>
        <v>1.24725210313603</v>
      </c>
    </row>
    <row r="36" customFormat="false" ht="15" hidden="false" customHeight="true" outlineLevel="0" collapsed="false">
      <c r="A36" s="5" t="n">
        <v>2038</v>
      </c>
      <c r="B36" s="1" t="n">
        <v>10174343956.7257</v>
      </c>
      <c r="C36" s="1" t="n">
        <v>5022793157.80742</v>
      </c>
      <c r="D36" s="1" t="n">
        <v>75413955689.0059</v>
      </c>
      <c r="E36" s="1" t="n">
        <v>77976849784.1183</v>
      </c>
      <c r="F36" s="1" t="n">
        <v>368435198797.362</v>
      </c>
      <c r="G36" s="1" t="n">
        <v>738072595159.257</v>
      </c>
      <c r="I36" s="1" t="n">
        <f aca="false">B36/$B$17</f>
        <v>1.43510103201537</v>
      </c>
      <c r="J36" s="1" t="n">
        <f aca="false">AVERAGE(C36:G36)/AVERAGE($C$17:$G$17)</f>
        <v>1.26829903700995</v>
      </c>
    </row>
    <row r="37" customFormat="false" ht="15" hidden="false" customHeight="true" outlineLevel="0" collapsed="false">
      <c r="A37" s="5" t="n">
        <v>2039</v>
      </c>
      <c r="B37" s="1" t="n">
        <v>10376221924.0954</v>
      </c>
      <c r="C37" s="1" t="n">
        <v>5058793837.77224</v>
      </c>
      <c r="D37" s="1" t="n">
        <v>76364400030.5266</v>
      </c>
      <c r="E37" s="1" t="n">
        <v>78974660480.3541</v>
      </c>
      <c r="F37" s="1" t="n">
        <v>374569420679.424</v>
      </c>
      <c r="G37" s="1" t="n">
        <v>750812652351.073</v>
      </c>
      <c r="I37" s="1" t="n">
        <f aca="false">B37/$B$17</f>
        <v>1.46357611409886</v>
      </c>
      <c r="J37" s="1" t="n">
        <f aca="false">AVERAGE(C37:G37)/AVERAGE($C$17:$G$17)</f>
        <v>1.28921326910741</v>
      </c>
    </row>
    <row r="38" customFormat="false" ht="15" hidden="false" customHeight="true" outlineLevel="0" collapsed="false">
      <c r="A38" s="5" t="n">
        <v>2040</v>
      </c>
      <c r="B38" s="1" t="n">
        <v>10576052711.3283</v>
      </c>
      <c r="C38" s="1" t="n">
        <v>5098081913.30939</v>
      </c>
      <c r="D38" s="1" t="n">
        <v>77385701778.1761</v>
      </c>
      <c r="E38" s="1" t="n">
        <v>80013476686.6792</v>
      </c>
      <c r="F38" s="1" t="n">
        <v>379012957938.371</v>
      </c>
      <c r="G38" s="1" t="n">
        <v>759969258371.919</v>
      </c>
      <c r="I38" s="1" t="n">
        <f aca="false">B38/$B$17</f>
        <v>1.49176243944879</v>
      </c>
      <c r="J38" s="1" t="n">
        <f aca="false">AVERAGE(C38:G38)/AVERAGE($C$17:$G$17)</f>
        <v>1.30495473999024</v>
      </c>
    </row>
    <row r="39" customFormat="false" ht="15" hidden="false" customHeight="true" outlineLevel="0" collapsed="false">
      <c r="A39" s="5" t="n">
        <v>2041</v>
      </c>
      <c r="B39" s="1" t="n">
        <v>10791627184.6964</v>
      </c>
      <c r="C39" s="1" t="n">
        <v>5148167158.49506</v>
      </c>
      <c r="D39" s="1" t="n">
        <v>78548904441.9368</v>
      </c>
      <c r="E39" s="1" t="n">
        <v>81173360182.3248</v>
      </c>
      <c r="F39" s="1" t="n">
        <v>386022570746.633</v>
      </c>
      <c r="G39" s="1" t="n">
        <v>774954608515.779</v>
      </c>
      <c r="I39" s="1" t="n">
        <f aca="false">B39/$B$17</f>
        <v>1.52216942691871</v>
      </c>
      <c r="J39" s="1" t="n">
        <f aca="false">AVERAGE(C39:G39)/AVERAGE($C$17:$G$17)</f>
        <v>1.32938794312797</v>
      </c>
    </row>
    <row r="40" customFormat="false" ht="15" hidden="false" customHeight="true" outlineLevel="0" collapsed="false">
      <c r="A40" s="5" t="n">
        <v>2042</v>
      </c>
      <c r="B40" s="1" t="n">
        <v>11040750378.0609</v>
      </c>
      <c r="C40" s="1" t="n">
        <v>5217286033.84738</v>
      </c>
      <c r="D40" s="1" t="n">
        <v>79881256009.9455</v>
      </c>
      <c r="E40" s="1" t="n">
        <v>82588687764.85</v>
      </c>
      <c r="F40" s="1" t="n">
        <v>394440615309.375</v>
      </c>
      <c r="G40" s="1" t="n">
        <v>791758591754.169</v>
      </c>
      <c r="I40" s="1" t="n">
        <f aca="false">B40/$B$17</f>
        <v>1.55730849371426</v>
      </c>
      <c r="J40" s="1" t="n">
        <f aca="false">AVERAGE(C40:G40)/AVERAGE($C$17:$G$17)</f>
        <v>1.35750163936529</v>
      </c>
    </row>
    <row r="41" customFormat="false" ht="15" hidden="false" customHeight="true" outlineLevel="0" collapsed="false">
      <c r="A41" s="5" t="n">
        <v>2043</v>
      </c>
      <c r="B41" s="1" t="n">
        <v>11313002644.9345</v>
      </c>
      <c r="C41" s="1" t="n">
        <v>5300854385.37069</v>
      </c>
      <c r="D41" s="1" t="n">
        <v>81344033884.7675</v>
      </c>
      <c r="E41" s="1" t="n">
        <v>84201980033.423</v>
      </c>
      <c r="F41" s="1" t="n">
        <v>403230368662.149</v>
      </c>
      <c r="G41" s="1" t="n">
        <v>810489951083.846</v>
      </c>
      <c r="I41" s="1" t="n">
        <f aca="false">B41/$B$17</f>
        <v>1.59570993864483</v>
      </c>
      <c r="J41" s="1" t="n">
        <f aca="false">AVERAGE(C41:G41)/AVERAGE($C$17:$G$17)</f>
        <v>1.38826431552922</v>
      </c>
    </row>
    <row r="42" customFormat="false" ht="15" hidden="false" customHeight="true" outlineLevel="0" collapsed="false">
      <c r="A42" s="5" t="n">
        <v>2044</v>
      </c>
      <c r="B42" s="1" t="n">
        <v>11589210678.9759</v>
      </c>
      <c r="C42" s="1" t="n">
        <v>5388016557.41637</v>
      </c>
      <c r="D42" s="1" t="n">
        <v>82897017306.5362</v>
      </c>
      <c r="E42" s="1" t="n">
        <v>85877145459.3632</v>
      </c>
      <c r="F42" s="1" t="n">
        <v>412463609450.923</v>
      </c>
      <c r="G42" s="1" t="n">
        <v>829081599867.231</v>
      </c>
      <c r="I42" s="1" t="n">
        <f aca="false">B42/$B$17</f>
        <v>1.63466934835121</v>
      </c>
      <c r="J42" s="1" t="n">
        <f aca="false">AVERAGE(C42:G42)/AVERAGE($C$17:$G$17)</f>
        <v>1.41948766794816</v>
      </c>
    </row>
    <row r="43" customFormat="false" ht="15" hidden="false" customHeight="true" outlineLevel="0" collapsed="false">
      <c r="A43" s="5" t="n">
        <v>2045</v>
      </c>
      <c r="B43" s="1" t="n">
        <v>11861079988.1595</v>
      </c>
      <c r="C43" s="1" t="n">
        <v>5475286186.25915</v>
      </c>
      <c r="D43" s="1" t="n">
        <v>84513304282.6609</v>
      </c>
      <c r="E43" s="1" t="n">
        <v>87564581571.4846</v>
      </c>
      <c r="F43" s="1" t="n">
        <v>417760805064.579</v>
      </c>
      <c r="G43" s="1" t="n">
        <v>839872050746.749</v>
      </c>
      <c r="I43" s="1" t="n">
        <f aca="false">B43/$B$17</f>
        <v>1.6730167767301</v>
      </c>
      <c r="J43" s="1" t="n">
        <f aca="false">AVERAGE(C43:G43)/AVERAGE($C$17:$G$17)</f>
        <v>1.43901831981112</v>
      </c>
    </row>
    <row r="44" customFormat="false" ht="15" hidden="false" customHeight="true" outlineLevel="0" collapsed="false">
      <c r="A44" s="5" t="n">
        <v>2046</v>
      </c>
      <c r="B44" s="1" t="n">
        <v>12055228527.1775</v>
      </c>
      <c r="C44" s="1" t="n">
        <v>5531716053.38272</v>
      </c>
      <c r="D44" s="1" t="n">
        <v>85945956530.0476</v>
      </c>
      <c r="E44" s="1" t="n">
        <v>88820201535.8008</v>
      </c>
      <c r="F44" s="1" t="n">
        <v>424265331528.177</v>
      </c>
      <c r="G44" s="1" t="n">
        <v>853396890597.424</v>
      </c>
      <c r="I44" s="1" t="n">
        <f aca="false">B44/$B$17</f>
        <v>1.70040161548669</v>
      </c>
      <c r="J44" s="1" t="n">
        <f aca="false">AVERAGE(C44:G44)/AVERAGE($C$17:$G$17)</f>
        <v>1.46185320044563</v>
      </c>
    </row>
    <row r="45" customFormat="false" ht="15" hidden="false" customHeight="true" outlineLevel="0" collapsed="false">
      <c r="A45" s="5" t="n">
        <v>2047</v>
      </c>
      <c r="B45" s="1" t="n">
        <v>12175541645.3349</v>
      </c>
      <c r="C45" s="1" t="n">
        <v>5557689422.46954</v>
      </c>
      <c r="D45" s="1" t="n">
        <v>87173412767.5245</v>
      </c>
      <c r="E45" s="1" t="n">
        <v>89693033193.3879</v>
      </c>
      <c r="F45" s="1" t="n">
        <v>429065403366.418</v>
      </c>
      <c r="G45" s="1" t="n">
        <v>861991766373.254</v>
      </c>
      <c r="I45" s="1" t="n">
        <f aca="false">B45/$B$17</f>
        <v>1.71737189688931</v>
      </c>
      <c r="J45" s="1" t="n">
        <f aca="false">AVERAGE(C45:G45)/AVERAGE($C$17:$G$17)</f>
        <v>1.47741585468552</v>
      </c>
    </row>
    <row r="46" customFormat="false" ht="15" hidden="false" customHeight="true" outlineLevel="0" collapsed="false">
      <c r="A46" s="5" t="n">
        <v>2048</v>
      </c>
      <c r="B46" s="1" t="n">
        <v>12293827162.3817</v>
      </c>
      <c r="C46" s="1" t="n">
        <v>5584246333.76509</v>
      </c>
      <c r="D46" s="1" t="n">
        <v>88391162151.774</v>
      </c>
      <c r="E46" s="22" t="n">
        <v>90575730811.9674</v>
      </c>
      <c r="F46" s="1" t="n">
        <v>433545436619.277</v>
      </c>
      <c r="G46" s="1" t="n">
        <v>870826019531.513</v>
      </c>
      <c r="I46" s="1" t="n">
        <f aca="false">B46/$B$17</f>
        <v>1.7340561831989</v>
      </c>
      <c r="J46" s="1" t="n">
        <f aca="false">AVERAGE(C46:G46)/AVERAGE($C$17:$G$17)</f>
        <v>1.49289837697066</v>
      </c>
    </row>
    <row r="47" customFormat="false" ht="15" hidden="false" customHeight="true" outlineLevel="0" collapsed="false">
      <c r="A47" s="5" t="n">
        <v>2049</v>
      </c>
      <c r="B47" s="1" t="n">
        <v>12410494816.1842</v>
      </c>
      <c r="C47" s="1" t="n">
        <v>5618121080.41571</v>
      </c>
      <c r="D47" s="1" t="n">
        <v>89344228855.6733</v>
      </c>
      <c r="E47" s="22" t="n">
        <v>91444550978.1498</v>
      </c>
      <c r="F47" s="1" t="n">
        <v>438549257413.914</v>
      </c>
      <c r="G47" s="1" t="n">
        <v>879801674189.832</v>
      </c>
      <c r="I47" s="1" t="n">
        <f aca="false">B47/$B$17</f>
        <v>1.75051226833687</v>
      </c>
      <c r="J47" s="1" t="n">
        <f aca="false">AVERAGE(C47:G47)/AVERAGE($C$17:$G$17)</f>
        <v>1.50877589793284</v>
      </c>
    </row>
    <row r="48" customFormat="false" ht="15" hidden="false" customHeight="true" outlineLevel="0" collapsed="false">
      <c r="A48" s="5" t="n">
        <v>2050</v>
      </c>
      <c r="B48" s="1" t="n">
        <v>12525953196.7407</v>
      </c>
      <c r="C48" s="1" t="n">
        <v>5653083330.23826</v>
      </c>
      <c r="D48" s="1" t="n">
        <v>90301626668.6915</v>
      </c>
      <c r="E48" s="22" t="n">
        <v>92338487673.332</v>
      </c>
      <c r="F48" s="1" t="n">
        <v>439589530657.101</v>
      </c>
      <c r="G48" s="1" t="n">
        <v>880865514516.09</v>
      </c>
      <c r="I48" s="1" t="n">
        <f aca="false">B48/$B$17</f>
        <v>1.76679778431669</v>
      </c>
      <c r="J48" s="1" t="n">
        <f aca="false">AVERAGE(C48:G48)/AVERAGE($C$17:$G$17)</f>
        <v>1.51277696361586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3203125" defaultRowHeight="15" zeroHeight="false" outlineLevelRow="0" outlineLevelCol="0"/>
  <cols>
    <col collapsed="false" customWidth="true" hidden="false" outlineLevel="0" max="1" min="1" style="1" width="44"/>
  </cols>
  <sheetData>
    <row r="1" customFormat="false" ht="15" hidden="false" customHeight="true" outlineLevel="0" collapsed="false">
      <c r="A1" s="1" t="s">
        <v>12</v>
      </c>
    </row>
    <row r="2" customFormat="false" ht="15" hidden="false" customHeight="true" outlineLevel="0" collapsed="false">
      <c r="A2" s="1" t="s">
        <v>66</v>
      </c>
    </row>
    <row r="3" customFormat="false" ht="15" hidden="false" customHeight="true" outlineLevel="0" collapsed="false">
      <c r="A3" s="1" t="s">
        <v>51</v>
      </c>
    </row>
    <row r="5" customFormat="false" ht="15" hidden="false" customHeight="true" outlineLevel="0" collapsed="false">
      <c r="A5" s="2" t="s">
        <v>57</v>
      </c>
    </row>
    <row r="7" customFormat="false" ht="15" hidden="false" customHeight="true" outlineLevel="0" collapsed="false">
      <c r="A7" s="10" t="s">
        <v>54</v>
      </c>
      <c r="B7" s="15" t="n">
        <v>2013</v>
      </c>
      <c r="C7" s="15" t="n">
        <v>2014</v>
      </c>
      <c r="D7" s="15" t="n">
        <v>2015</v>
      </c>
      <c r="E7" s="15" t="n">
        <v>2016</v>
      </c>
      <c r="F7" s="15" t="n">
        <v>2017</v>
      </c>
      <c r="G7" s="15" t="n">
        <v>2018</v>
      </c>
      <c r="H7" s="15" t="n">
        <v>2019</v>
      </c>
      <c r="I7" s="15" t="n">
        <v>2020</v>
      </c>
      <c r="J7" s="15" t="n">
        <v>2021</v>
      </c>
      <c r="K7" s="15" t="n">
        <v>2022</v>
      </c>
      <c r="L7" s="15" t="n">
        <v>2023</v>
      </c>
      <c r="M7" s="15" t="n">
        <v>2024</v>
      </c>
      <c r="N7" s="15" t="n">
        <v>2025</v>
      </c>
      <c r="O7" s="15" t="n">
        <v>2026</v>
      </c>
      <c r="P7" s="15" t="n">
        <v>2027</v>
      </c>
      <c r="Q7" s="15" t="n">
        <v>2028</v>
      </c>
      <c r="R7" s="15" t="n">
        <v>2029</v>
      </c>
      <c r="S7" s="15" t="n">
        <v>2030</v>
      </c>
      <c r="T7" s="15" t="n">
        <v>2031</v>
      </c>
      <c r="U7" s="15" t="n">
        <v>2032</v>
      </c>
      <c r="V7" s="15" t="n">
        <v>2033</v>
      </c>
      <c r="W7" s="15" t="n">
        <v>2034</v>
      </c>
      <c r="X7" s="15" t="n">
        <v>2035</v>
      </c>
      <c r="Y7" s="15" t="n">
        <v>2036</v>
      </c>
      <c r="Z7" s="15" t="n">
        <v>2037</v>
      </c>
      <c r="AA7" s="15" t="n">
        <v>2038</v>
      </c>
      <c r="AB7" s="15" t="n">
        <v>2039</v>
      </c>
      <c r="AC7" s="15" t="n">
        <v>2040</v>
      </c>
      <c r="AD7" s="15" t="n">
        <v>2041</v>
      </c>
      <c r="AE7" s="15" t="n">
        <v>2042</v>
      </c>
      <c r="AF7" s="15" t="n">
        <v>2043</v>
      </c>
      <c r="AG7" s="15" t="n">
        <v>2044</v>
      </c>
      <c r="AH7" s="15" t="n">
        <v>2045</v>
      </c>
      <c r="AI7" s="15" t="n">
        <v>2046</v>
      </c>
      <c r="AJ7" s="15" t="n">
        <v>2047</v>
      </c>
      <c r="AK7" s="15" t="n">
        <v>2048</v>
      </c>
      <c r="AL7" s="15" t="n">
        <v>2049</v>
      </c>
      <c r="AM7" s="15" t="n">
        <v>2050</v>
      </c>
    </row>
    <row r="8" customFormat="false" ht="15" hidden="false" customHeight="true" outlineLevel="0" collapsed="false">
      <c r="A8" s="1" t="s">
        <v>67</v>
      </c>
      <c r="B8" s="1" t="n">
        <v>203255</v>
      </c>
      <c r="C8" s="1" t="n">
        <v>213577.857142857</v>
      </c>
      <c r="D8" s="1" t="n">
        <v>223900.714285714</v>
      </c>
      <c r="E8" s="1" t="n">
        <v>234223.571428571</v>
      </c>
      <c r="F8" s="1" t="n">
        <v>244546.428571428</v>
      </c>
      <c r="G8" s="1" t="n">
        <v>254869.285714286</v>
      </c>
      <c r="H8" s="1" t="n">
        <v>265192.142857143</v>
      </c>
      <c r="I8" s="1" t="n">
        <v>275515</v>
      </c>
      <c r="J8" s="1" t="n">
        <v>287270.8</v>
      </c>
      <c r="K8" s="1" t="n">
        <v>299026.6</v>
      </c>
      <c r="L8" s="1" t="n">
        <v>310782.4</v>
      </c>
      <c r="M8" s="1" t="n">
        <v>322538.2</v>
      </c>
      <c r="N8" s="1" t="n">
        <v>334294</v>
      </c>
      <c r="O8" s="1" t="n">
        <v>346049.8</v>
      </c>
      <c r="P8" s="1" t="n">
        <v>357805.6</v>
      </c>
      <c r="Q8" s="1" t="n">
        <v>369561.4</v>
      </c>
      <c r="R8" s="1" t="n">
        <v>381317.2</v>
      </c>
      <c r="S8" s="1" t="n">
        <v>393073</v>
      </c>
      <c r="T8" s="1" t="n">
        <v>401508.1</v>
      </c>
      <c r="U8" s="1" t="n">
        <v>409943.2</v>
      </c>
      <c r="V8" s="1" t="n">
        <v>418378.3</v>
      </c>
      <c r="W8" s="1" t="n">
        <v>426813.4</v>
      </c>
      <c r="X8" s="1" t="n">
        <v>435248.5</v>
      </c>
      <c r="Y8" s="1" t="n">
        <v>443683.6</v>
      </c>
      <c r="Z8" s="1" t="n">
        <v>452118.7</v>
      </c>
      <c r="AA8" s="1" t="n">
        <v>460553.8</v>
      </c>
      <c r="AB8" s="1" t="n">
        <v>468988.9</v>
      </c>
      <c r="AC8" s="1" t="n">
        <v>477424</v>
      </c>
      <c r="AD8" s="1" t="n">
        <v>481038.4</v>
      </c>
      <c r="AE8" s="1" t="n">
        <v>484652.8</v>
      </c>
      <c r="AF8" s="1" t="n">
        <v>488267.2</v>
      </c>
      <c r="AG8" s="1" t="n">
        <v>491881.6</v>
      </c>
      <c r="AH8" s="1" t="n">
        <v>495496</v>
      </c>
      <c r="AI8" s="1" t="n">
        <v>499110.4</v>
      </c>
      <c r="AJ8" s="1" t="n">
        <v>502724.8</v>
      </c>
      <c r="AK8" s="1" t="n">
        <v>506339.2</v>
      </c>
      <c r="AL8" s="1" t="n">
        <v>509953.6</v>
      </c>
      <c r="AM8" s="1" t="n">
        <v>513568</v>
      </c>
    </row>
    <row r="9" customFormat="false" ht="15" hidden="false" customHeight="true" outlineLevel="0" collapsed="false">
      <c r="A9" s="1" t="s">
        <v>53</v>
      </c>
      <c r="B9" s="17" t="n">
        <v>203255</v>
      </c>
      <c r="C9" s="17" t="n">
        <v>213577.857142857</v>
      </c>
      <c r="D9" s="17" t="n">
        <v>223900.714285714</v>
      </c>
      <c r="E9" s="17" t="n">
        <v>234223.571428571</v>
      </c>
      <c r="F9" s="17" t="n">
        <v>244546.428571428</v>
      </c>
      <c r="G9" s="17" t="n">
        <v>254869.285714286</v>
      </c>
      <c r="H9" s="17" t="n">
        <v>265192.142857143</v>
      </c>
      <c r="I9" s="17" t="n">
        <v>275515</v>
      </c>
      <c r="J9" s="17" t="n">
        <v>287270.8</v>
      </c>
      <c r="K9" s="17" t="n">
        <v>299026.6</v>
      </c>
      <c r="L9" s="17" t="n">
        <v>310782.4</v>
      </c>
      <c r="M9" s="17" t="n">
        <v>322538.2</v>
      </c>
      <c r="N9" s="17" t="n">
        <v>334294</v>
      </c>
      <c r="O9" s="17" t="n">
        <v>346049.8</v>
      </c>
      <c r="P9" s="17" t="n">
        <v>357805.6</v>
      </c>
      <c r="Q9" s="17" t="n">
        <v>369561.4</v>
      </c>
      <c r="R9" s="17" t="n">
        <v>381317.2</v>
      </c>
      <c r="S9" s="17" t="n">
        <v>393073</v>
      </c>
      <c r="T9" s="17" t="n">
        <v>401508.1</v>
      </c>
      <c r="U9" s="17" t="n">
        <v>409943.2</v>
      </c>
      <c r="V9" s="17" t="n">
        <v>418378.3</v>
      </c>
      <c r="W9" s="17" t="n">
        <v>426813.4</v>
      </c>
      <c r="X9" s="17" t="n">
        <v>435248.5</v>
      </c>
      <c r="Y9" s="17" t="n">
        <v>443683.6</v>
      </c>
      <c r="Z9" s="17" t="n">
        <v>452118.7</v>
      </c>
      <c r="AA9" s="17" t="n">
        <v>460553.8</v>
      </c>
      <c r="AB9" s="17" t="n">
        <v>468988.9</v>
      </c>
      <c r="AC9" s="17" t="n">
        <v>477424</v>
      </c>
      <c r="AD9" s="17" t="n">
        <v>481038.4</v>
      </c>
      <c r="AE9" s="17" t="n">
        <v>484652.8</v>
      </c>
      <c r="AF9" s="17" t="n">
        <v>488267.2</v>
      </c>
      <c r="AG9" s="17" t="n">
        <v>491881.6</v>
      </c>
      <c r="AH9" s="17" t="n">
        <v>495496</v>
      </c>
      <c r="AI9" s="17" t="n">
        <v>499110.4</v>
      </c>
      <c r="AJ9" s="17" t="n">
        <v>502724.8</v>
      </c>
      <c r="AK9" s="17" t="n">
        <v>506339.2</v>
      </c>
      <c r="AL9" s="1" t="n">
        <v>509953.6</v>
      </c>
      <c r="AM9" s="1" t="n">
        <v>513568</v>
      </c>
    </row>
    <row r="10" customFormat="false" ht="15" hidden="false" customHeight="true" outlineLevel="0" collapsed="false">
      <c r="A10" s="2" t="s">
        <v>49</v>
      </c>
      <c r="H10" s="1" t="n">
        <v>1</v>
      </c>
      <c r="I10" s="1" t="n">
        <f aca="false">I9/$H$9</f>
        <v>1.03892595395791</v>
      </c>
      <c r="J10" s="1" t="n">
        <f aca="false">J9/$H$9</f>
        <v>1.08325532161317</v>
      </c>
      <c r="K10" s="1" t="n">
        <f aca="false">K9/$H$9</f>
        <v>1.12758468926843</v>
      </c>
      <c r="L10" s="1" t="n">
        <f aca="false">L9/$H$9</f>
        <v>1.17191405692369</v>
      </c>
      <c r="M10" s="1" t="n">
        <f aca="false">M9/$H$9</f>
        <v>1.21624342457894</v>
      </c>
      <c r="N10" s="1" t="n">
        <f aca="false">N9/$H$9</f>
        <v>1.2605727922342</v>
      </c>
      <c r="O10" s="1" t="n">
        <f aca="false">O9/$H$9</f>
        <v>1.30490215988946</v>
      </c>
      <c r="P10" s="1" t="n">
        <f aca="false">P9/$H$9</f>
        <v>1.34923152754472</v>
      </c>
      <c r="Q10" s="1" t="n">
        <f aca="false">Q9/$H$9</f>
        <v>1.39356089519998</v>
      </c>
      <c r="R10" s="1" t="n">
        <f aca="false">R9/$H$9</f>
        <v>1.43789026285523</v>
      </c>
      <c r="S10" s="1" t="n">
        <f aca="false">S9/$H$9</f>
        <v>1.48221963051049</v>
      </c>
      <c r="T10" s="1" t="n">
        <f aca="false">T9/$H$9</f>
        <v>1.51402713396486</v>
      </c>
      <c r="U10" s="1" t="n">
        <f aca="false">U9/$H$9</f>
        <v>1.54583463741923</v>
      </c>
      <c r="V10" s="1" t="n">
        <f aca="false">V9/$H$9</f>
        <v>1.5776421408736</v>
      </c>
      <c r="W10" s="1" t="n">
        <f aca="false">W9/$H$9</f>
        <v>1.60944964432797</v>
      </c>
      <c r="X10" s="1" t="n">
        <f aca="false">X9/$H$9</f>
        <v>1.64125714778233</v>
      </c>
      <c r="Y10" s="1" t="n">
        <f aca="false">Y9/$H$9</f>
        <v>1.6730646512367</v>
      </c>
      <c r="Z10" s="1" t="n">
        <f aca="false">Z9/$H$9</f>
        <v>1.70487215469107</v>
      </c>
      <c r="AA10" s="1" t="n">
        <f aca="false">AA9/$H$9</f>
        <v>1.73667965814544</v>
      </c>
      <c r="AB10" s="1" t="n">
        <f aca="false">AB9/$H$9</f>
        <v>1.76848716159981</v>
      </c>
      <c r="AC10" s="1" t="n">
        <f aca="false">AC9/$H$9</f>
        <v>1.80029466505418</v>
      </c>
      <c r="AD10" s="1" t="n">
        <f aca="false">AD9/$H$9</f>
        <v>1.81392402813055</v>
      </c>
      <c r="AE10" s="1" t="n">
        <f aca="false">AE9/$H$9</f>
        <v>1.82755339120691</v>
      </c>
      <c r="AF10" s="1" t="n">
        <f aca="false">AF9/$H$9</f>
        <v>1.84118275428328</v>
      </c>
      <c r="AG10" s="1" t="n">
        <f aca="false">AG9/$H$9</f>
        <v>1.85481211735965</v>
      </c>
      <c r="AH10" s="1" t="n">
        <f aca="false">AH9/$H$9</f>
        <v>1.86844148043602</v>
      </c>
      <c r="AI10" s="1" t="n">
        <f aca="false">AI9/$H$9</f>
        <v>1.88207084351239</v>
      </c>
      <c r="AJ10" s="1" t="n">
        <f aca="false">AJ9/$H$9</f>
        <v>1.89570020658875</v>
      </c>
      <c r="AK10" s="1" t="n">
        <f aca="false">AK9/$H$9</f>
        <v>1.90932956966512</v>
      </c>
      <c r="AL10" s="1" t="n">
        <f aca="false">AL9/$H$9</f>
        <v>1.92295893274149</v>
      </c>
      <c r="AM10" s="1" t="n">
        <f aca="false">AM9/$H$9</f>
        <v>1.93658829581786</v>
      </c>
    </row>
    <row r="25" customFormat="false" ht="99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3203125" defaultRowHeight="15" zeroHeight="false" outlineLevelRow="0" outlineLevelCol="0"/>
  <cols>
    <col collapsed="false" customWidth="true" hidden="false" outlineLevel="0" max="1" min="1" style="1" width="36.83"/>
  </cols>
  <sheetData>
    <row r="1" customFormat="false" ht="15" hidden="false" customHeight="true" outlineLevel="0" collapsed="false">
      <c r="A1" s="1" t="s">
        <v>12</v>
      </c>
    </row>
    <row r="2" customFormat="false" ht="15" hidden="false" customHeight="true" outlineLevel="0" collapsed="false">
      <c r="A2" s="1" t="s">
        <v>66</v>
      </c>
    </row>
    <row r="3" customFormat="false" ht="15" hidden="false" customHeight="true" outlineLevel="0" collapsed="false">
      <c r="A3" s="1" t="s">
        <v>51</v>
      </c>
    </row>
    <row r="5" customFormat="false" ht="15" hidden="false" customHeight="true" outlineLevel="0" collapsed="false">
      <c r="A5" s="2" t="s">
        <v>57</v>
      </c>
    </row>
    <row r="7" customFormat="false" ht="15" hidden="false" customHeight="true" outlineLevel="0" collapsed="false">
      <c r="A7" s="10" t="s">
        <v>52</v>
      </c>
      <c r="B7" s="15" t="n">
        <v>2013</v>
      </c>
      <c r="C7" s="15" t="n">
        <v>2014</v>
      </c>
      <c r="D7" s="15" t="n">
        <v>2015</v>
      </c>
      <c r="E7" s="15" t="n">
        <v>2016</v>
      </c>
      <c r="F7" s="15" t="n">
        <v>2017</v>
      </c>
      <c r="G7" s="15" t="n">
        <v>2018</v>
      </c>
      <c r="H7" s="15" t="n">
        <v>2019</v>
      </c>
      <c r="I7" s="15" t="n">
        <v>2020</v>
      </c>
      <c r="J7" s="15" t="n">
        <v>2021</v>
      </c>
      <c r="K7" s="15" t="n">
        <v>2022</v>
      </c>
      <c r="L7" s="15" t="n">
        <v>2023</v>
      </c>
      <c r="M7" s="15" t="n">
        <v>2024</v>
      </c>
      <c r="N7" s="15" t="n">
        <v>2025</v>
      </c>
      <c r="O7" s="15" t="n">
        <v>2026</v>
      </c>
      <c r="P7" s="15" t="n">
        <v>2027</v>
      </c>
      <c r="Q7" s="15" t="n">
        <v>2028</v>
      </c>
      <c r="R7" s="15" t="n">
        <v>2029</v>
      </c>
      <c r="S7" s="15" t="n">
        <v>2030</v>
      </c>
      <c r="T7" s="15" t="n">
        <v>2031</v>
      </c>
      <c r="U7" s="15" t="n">
        <v>2032</v>
      </c>
      <c r="V7" s="15" t="n">
        <v>2033</v>
      </c>
      <c r="W7" s="15" t="n">
        <v>2034</v>
      </c>
      <c r="X7" s="15" t="n">
        <v>2035</v>
      </c>
      <c r="Y7" s="15" t="n">
        <v>2036</v>
      </c>
      <c r="Z7" s="15" t="n">
        <v>2037</v>
      </c>
      <c r="AA7" s="15" t="n">
        <v>2038</v>
      </c>
      <c r="AB7" s="15" t="n">
        <v>2039</v>
      </c>
      <c r="AC7" s="15" t="n">
        <v>2040</v>
      </c>
      <c r="AD7" s="15" t="n">
        <v>2041</v>
      </c>
      <c r="AE7" s="15" t="n">
        <v>2042</v>
      </c>
      <c r="AF7" s="15" t="n">
        <v>2043</v>
      </c>
      <c r="AG7" s="15" t="n">
        <v>2044</v>
      </c>
      <c r="AH7" s="15" t="n">
        <v>2045</v>
      </c>
      <c r="AI7" s="15" t="n">
        <v>2046</v>
      </c>
      <c r="AJ7" s="15" t="n">
        <v>2047</v>
      </c>
      <c r="AK7" s="15" t="n">
        <v>2048</v>
      </c>
      <c r="AL7" s="15" t="n">
        <v>2049</v>
      </c>
      <c r="AM7" s="15" t="n">
        <v>2050</v>
      </c>
    </row>
    <row r="8" customFormat="false" ht="15" hidden="false" customHeight="true" outlineLevel="0" collapsed="false">
      <c r="A8" s="1" t="s">
        <v>67</v>
      </c>
      <c r="B8" s="1" t="n">
        <v>316462</v>
      </c>
      <c r="C8" s="1" t="n">
        <v>333025.285714286</v>
      </c>
      <c r="D8" s="1" t="n">
        <v>349588.571428571</v>
      </c>
      <c r="E8" s="1" t="n">
        <v>366151.857142857</v>
      </c>
      <c r="F8" s="1" t="n">
        <v>382715.142857143</v>
      </c>
      <c r="G8" s="1" t="n">
        <v>399278.428571429</v>
      </c>
      <c r="H8" s="1" t="n">
        <v>415841.714285714</v>
      </c>
      <c r="I8" s="1" t="n">
        <v>432405</v>
      </c>
      <c r="J8" s="1" t="n">
        <v>451494.8</v>
      </c>
      <c r="K8" s="1" t="n">
        <v>470584.6</v>
      </c>
      <c r="L8" s="1" t="n">
        <v>489674.4</v>
      </c>
      <c r="M8" s="1" t="n">
        <v>508764.2</v>
      </c>
      <c r="N8" s="1" t="n">
        <v>527854</v>
      </c>
      <c r="O8" s="1" t="n">
        <v>546943.8</v>
      </c>
      <c r="P8" s="1" t="n">
        <v>566033.6</v>
      </c>
      <c r="Q8" s="1" t="n">
        <v>585123.4</v>
      </c>
      <c r="R8" s="1" t="n">
        <v>604213.2</v>
      </c>
      <c r="S8" s="1" t="n">
        <v>623303</v>
      </c>
      <c r="T8" s="1" t="n">
        <v>655393.7</v>
      </c>
      <c r="U8" s="1" t="n">
        <v>687484.4</v>
      </c>
      <c r="V8" s="1" t="n">
        <v>719575.1</v>
      </c>
      <c r="W8" s="1" t="n">
        <v>751665.8</v>
      </c>
      <c r="X8" s="1" t="n">
        <v>783756.5</v>
      </c>
      <c r="Y8" s="1" t="n">
        <v>815847.2</v>
      </c>
      <c r="Z8" s="1" t="n">
        <v>847937.9</v>
      </c>
      <c r="AA8" s="1" t="n">
        <v>880028.6</v>
      </c>
      <c r="AB8" s="1" t="n">
        <v>912119.3</v>
      </c>
      <c r="AC8" s="1" t="n">
        <v>944210</v>
      </c>
      <c r="AD8" s="1" t="n">
        <v>992182.4</v>
      </c>
      <c r="AE8" s="1" t="n">
        <v>1040154.8</v>
      </c>
      <c r="AF8" s="1" t="n">
        <v>1088127.2</v>
      </c>
      <c r="AG8" s="1" t="n">
        <v>1136099.6</v>
      </c>
      <c r="AH8" s="1" t="n">
        <v>1184072</v>
      </c>
      <c r="AI8" s="1" t="n">
        <v>1232044.4</v>
      </c>
      <c r="AJ8" s="1" t="n">
        <v>1280016.8</v>
      </c>
      <c r="AK8" s="1" t="n">
        <v>1327989.2</v>
      </c>
      <c r="AL8" s="1" t="n">
        <v>1375961.6</v>
      </c>
      <c r="AM8" s="1" t="n">
        <v>1423934</v>
      </c>
    </row>
    <row r="9" customFormat="false" ht="15" hidden="false" customHeight="true" outlineLevel="0" collapsed="false">
      <c r="A9" s="1" t="s">
        <v>53</v>
      </c>
      <c r="B9" s="17" t="n">
        <v>316462</v>
      </c>
      <c r="C9" s="17" t="n">
        <v>333025.285714286</v>
      </c>
      <c r="D9" s="17" t="n">
        <v>349588.571428571</v>
      </c>
      <c r="E9" s="17" t="n">
        <v>366151.857142857</v>
      </c>
      <c r="F9" s="17" t="n">
        <v>382715.142857143</v>
      </c>
      <c r="G9" s="17" t="n">
        <v>399278.428571429</v>
      </c>
      <c r="H9" s="17" t="n">
        <v>415841.714285714</v>
      </c>
      <c r="I9" s="17" t="n">
        <v>432405</v>
      </c>
      <c r="J9" s="17" t="n">
        <v>451494.8</v>
      </c>
      <c r="K9" s="17" t="n">
        <v>470584.6</v>
      </c>
      <c r="L9" s="17" t="n">
        <v>489674.4</v>
      </c>
      <c r="M9" s="17" t="n">
        <v>508764.2</v>
      </c>
      <c r="N9" s="17" t="n">
        <v>527854</v>
      </c>
      <c r="O9" s="17" t="n">
        <v>546943.8</v>
      </c>
      <c r="P9" s="17" t="n">
        <v>566033.6</v>
      </c>
      <c r="Q9" s="17" t="n">
        <v>585123.4</v>
      </c>
      <c r="R9" s="17" t="n">
        <v>604213.2</v>
      </c>
      <c r="S9" s="17" t="n">
        <v>623303</v>
      </c>
      <c r="T9" s="17" t="n">
        <v>655393.7</v>
      </c>
      <c r="U9" s="17" t="n">
        <v>687484.4</v>
      </c>
      <c r="V9" s="17" t="n">
        <v>719575.1</v>
      </c>
      <c r="W9" s="17" t="n">
        <v>751665.8</v>
      </c>
      <c r="X9" s="17" t="n">
        <v>783756.5</v>
      </c>
      <c r="Y9" s="17" t="n">
        <v>815847.2</v>
      </c>
      <c r="Z9" s="17" t="n">
        <v>847937.9</v>
      </c>
      <c r="AA9" s="17" t="n">
        <v>880028.6</v>
      </c>
      <c r="AB9" s="17" t="n">
        <v>912119.3</v>
      </c>
      <c r="AC9" s="17" t="n">
        <v>944210</v>
      </c>
      <c r="AD9" s="17" t="n">
        <v>992182.4</v>
      </c>
      <c r="AE9" s="17" t="n">
        <v>1040154.8</v>
      </c>
      <c r="AF9" s="17" t="n">
        <v>1088127.2</v>
      </c>
      <c r="AG9" s="17" t="n">
        <v>1136099.6</v>
      </c>
      <c r="AH9" s="17" t="n">
        <v>1184072</v>
      </c>
      <c r="AI9" s="17" t="n">
        <v>1232044.4</v>
      </c>
      <c r="AJ9" s="17" t="n">
        <v>1280016.8</v>
      </c>
      <c r="AK9" s="17" t="n">
        <v>1327989.2</v>
      </c>
      <c r="AL9" s="1" t="n">
        <v>1375961.6</v>
      </c>
      <c r="AM9" s="1" t="n">
        <v>1423934</v>
      </c>
    </row>
    <row r="10" customFormat="false" ht="15" hidden="false" customHeight="true" outlineLevel="0" collapsed="false">
      <c r="A10" s="2" t="s">
        <v>49</v>
      </c>
      <c r="H10" s="1" t="n">
        <v>1</v>
      </c>
      <c r="I10" s="1" t="n">
        <f aca="false">I9/$H$9</f>
        <v>1.03983074603936</v>
      </c>
      <c r="J10" s="1" t="n">
        <f aca="false">J9/$H$9</f>
        <v>1.08573715548361</v>
      </c>
      <c r="K10" s="1" t="n">
        <f aca="false">K9/$H$9</f>
        <v>1.13164356492786</v>
      </c>
      <c r="L10" s="1" t="n">
        <f aca="false">L9/$H$9</f>
        <v>1.17754997437212</v>
      </c>
      <c r="M10" s="1" t="n">
        <f aca="false">M9/$H$9</f>
        <v>1.22345638381637</v>
      </c>
      <c r="N10" s="1" t="n">
        <f aca="false">N9/$H$9</f>
        <v>1.26936279326062</v>
      </c>
      <c r="O10" s="1" t="n">
        <f aca="false">O9/$H$9</f>
        <v>1.31526920270488</v>
      </c>
      <c r="P10" s="1" t="n">
        <f aca="false">P9/$H$9</f>
        <v>1.36117561214913</v>
      </c>
      <c r="Q10" s="1" t="n">
        <f aca="false">Q9/$H$9</f>
        <v>1.40708202159338</v>
      </c>
      <c r="R10" s="1" t="n">
        <f aca="false">R9/$H$9</f>
        <v>1.45298843103763</v>
      </c>
      <c r="S10" s="1" t="n">
        <f aca="false">S9/$H$9</f>
        <v>1.49889484048189</v>
      </c>
      <c r="T10" s="1" t="n">
        <f aca="false">T9/$H$9</f>
        <v>1.57606530919045</v>
      </c>
      <c r="U10" s="1" t="n">
        <f aca="false">U9/$H$9</f>
        <v>1.65323577789901</v>
      </c>
      <c r="V10" s="1" t="n">
        <f aca="false">V9/$H$9</f>
        <v>1.73040624660757</v>
      </c>
      <c r="W10" s="1" t="n">
        <f aca="false">W9/$H$9</f>
        <v>1.80757671531613</v>
      </c>
      <c r="X10" s="1" t="n">
        <f aca="false">X9/$H$9</f>
        <v>1.88474718402469</v>
      </c>
      <c r="Y10" s="1" t="n">
        <f aca="false">Y9/$H$9</f>
        <v>1.96191765273325</v>
      </c>
      <c r="Z10" s="1" t="n">
        <f aca="false">Z9/$H$9</f>
        <v>2.03908812144181</v>
      </c>
      <c r="AA10" s="1" t="n">
        <f aca="false">AA9/$H$9</f>
        <v>2.11625859015037</v>
      </c>
      <c r="AB10" s="1" t="n">
        <f aca="false">AB9/$H$9</f>
        <v>2.19342905885894</v>
      </c>
      <c r="AC10" s="1" t="n">
        <f aca="false">AC9/$H$9</f>
        <v>2.2705995275675</v>
      </c>
      <c r="AD10" s="1" t="n">
        <f aca="false">AD9/$H$9</f>
        <v>2.38596169146777</v>
      </c>
      <c r="AE10" s="1" t="n">
        <f aca="false">AE9/$H$9</f>
        <v>2.50132385536805</v>
      </c>
      <c r="AF10" s="1" t="n">
        <f aca="false">AF9/$H$9</f>
        <v>2.61668601926832</v>
      </c>
      <c r="AG10" s="1" t="n">
        <f aca="false">AG9/$H$9</f>
        <v>2.7320481831686</v>
      </c>
      <c r="AH10" s="1" t="n">
        <f aca="false">AH9/$H$9</f>
        <v>2.84741034706887</v>
      </c>
      <c r="AI10" s="1" t="n">
        <f aca="false">AI9/$H$9</f>
        <v>2.96277251096915</v>
      </c>
      <c r="AJ10" s="1" t="n">
        <f aca="false">AJ9/$H$9</f>
        <v>3.07813467486942</v>
      </c>
      <c r="AK10" s="1" t="n">
        <f aca="false">AK9/$H$9</f>
        <v>3.1934968387697</v>
      </c>
      <c r="AL10" s="1" t="n">
        <f aca="false">AL9/$H$9</f>
        <v>3.30885900266997</v>
      </c>
      <c r="AM10" s="1" t="n">
        <f aca="false">AM9/$H$9</f>
        <v>3.42422116657025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3203125" defaultRowHeight="15" zeroHeight="false" outlineLevelRow="0" outlineLevelCol="0"/>
  <cols>
    <col collapsed="false" customWidth="true" hidden="false" outlineLevel="0" max="1" min="1" style="1" width="40.16"/>
  </cols>
  <sheetData>
    <row r="1" customFormat="false" ht="15" hidden="false" customHeight="true" outlineLevel="0" collapsed="false">
      <c r="A1" s="1" t="s">
        <v>12</v>
      </c>
    </row>
    <row r="2" customFormat="false" ht="15" hidden="false" customHeight="true" outlineLevel="0" collapsed="false">
      <c r="A2" s="1" t="s">
        <v>66</v>
      </c>
    </row>
    <row r="3" customFormat="false" ht="15" hidden="false" customHeight="true" outlineLevel="0" collapsed="false">
      <c r="A3" s="1" t="s">
        <v>51</v>
      </c>
    </row>
    <row r="5" customFormat="false" ht="15" hidden="false" customHeight="true" outlineLevel="0" collapsed="false">
      <c r="A5" s="2" t="s">
        <v>57</v>
      </c>
    </row>
    <row r="7" customFormat="false" ht="15" hidden="false" customHeight="true" outlineLevel="0" collapsed="false">
      <c r="A7" s="10" t="s">
        <v>68</v>
      </c>
      <c r="B7" s="15" t="n">
        <v>2013</v>
      </c>
      <c r="C7" s="15" t="n">
        <v>2014</v>
      </c>
      <c r="D7" s="15" t="n">
        <v>2015</v>
      </c>
      <c r="E7" s="15" t="n">
        <v>2016</v>
      </c>
      <c r="F7" s="15" t="n">
        <v>2017</v>
      </c>
      <c r="G7" s="15" t="n">
        <v>2018</v>
      </c>
      <c r="H7" s="15" t="n">
        <v>2019</v>
      </c>
      <c r="I7" s="15" t="n">
        <v>2020</v>
      </c>
      <c r="J7" s="15" t="n">
        <v>2021</v>
      </c>
      <c r="K7" s="15" t="n">
        <v>2022</v>
      </c>
      <c r="L7" s="15" t="n">
        <v>2023</v>
      </c>
      <c r="M7" s="15" t="n">
        <v>2024</v>
      </c>
      <c r="N7" s="15" t="n">
        <v>2025</v>
      </c>
      <c r="O7" s="15" t="n">
        <v>2026</v>
      </c>
      <c r="P7" s="15" t="n">
        <v>2027</v>
      </c>
      <c r="Q7" s="15" t="n">
        <v>2028</v>
      </c>
      <c r="R7" s="15" t="n">
        <v>2029</v>
      </c>
      <c r="S7" s="15" t="n">
        <v>2030</v>
      </c>
      <c r="T7" s="15" t="n">
        <v>2031</v>
      </c>
      <c r="U7" s="15" t="n">
        <v>2032</v>
      </c>
      <c r="V7" s="15" t="n">
        <v>2033</v>
      </c>
      <c r="W7" s="15" t="n">
        <v>2034</v>
      </c>
      <c r="X7" s="15" t="n">
        <v>2035</v>
      </c>
      <c r="Y7" s="15" t="n">
        <v>2036</v>
      </c>
      <c r="Z7" s="15" t="n">
        <v>2037</v>
      </c>
      <c r="AA7" s="15" t="n">
        <v>2038</v>
      </c>
      <c r="AB7" s="15" t="n">
        <v>2039</v>
      </c>
      <c r="AC7" s="15" t="n">
        <v>2040</v>
      </c>
      <c r="AD7" s="15" t="n">
        <v>2041</v>
      </c>
      <c r="AE7" s="15" t="n">
        <v>2042</v>
      </c>
      <c r="AF7" s="15" t="n">
        <v>2043</v>
      </c>
      <c r="AG7" s="15" t="n">
        <v>2044</v>
      </c>
      <c r="AH7" s="15" t="n">
        <v>2045</v>
      </c>
      <c r="AI7" s="15" t="n">
        <v>2046</v>
      </c>
      <c r="AJ7" s="15" t="n">
        <v>2047</v>
      </c>
      <c r="AK7" s="15" t="n">
        <v>2048</v>
      </c>
      <c r="AL7" s="15" t="n">
        <v>2049</v>
      </c>
      <c r="AM7" s="15" t="n">
        <v>2050</v>
      </c>
    </row>
    <row r="8" customFormat="false" ht="15" hidden="false" customHeight="true" outlineLevel="0" collapsed="false">
      <c r="A8" s="1" t="s">
        <v>67</v>
      </c>
      <c r="B8" s="1" t="n">
        <v>8635</v>
      </c>
      <c r="C8" s="1" t="n">
        <v>8716.14285714286</v>
      </c>
      <c r="D8" s="1" t="n">
        <v>8797.28571428571</v>
      </c>
      <c r="E8" s="1" t="n">
        <v>8878.42857142857</v>
      </c>
      <c r="F8" s="1" t="n">
        <v>8959.57142857143</v>
      </c>
      <c r="G8" s="1" t="n">
        <v>9040.71428571429</v>
      </c>
      <c r="H8" s="1" t="n">
        <v>9121.85714285714</v>
      </c>
      <c r="I8" s="1" t="n">
        <v>9203</v>
      </c>
      <c r="J8" s="1" t="n">
        <v>9114.4</v>
      </c>
      <c r="K8" s="1" t="n">
        <v>9025.8</v>
      </c>
      <c r="L8" s="1" t="n">
        <v>8937.2</v>
      </c>
      <c r="M8" s="1" t="n">
        <v>8848.6</v>
      </c>
      <c r="N8" s="1" t="n">
        <v>8760</v>
      </c>
      <c r="O8" s="1" t="n">
        <v>8671.4</v>
      </c>
      <c r="P8" s="1" t="n">
        <v>8582.8</v>
      </c>
      <c r="Q8" s="1" t="n">
        <v>8494.2</v>
      </c>
      <c r="R8" s="1" t="n">
        <v>8405.6</v>
      </c>
      <c r="S8" s="1" t="n">
        <v>8317</v>
      </c>
      <c r="T8" s="1" t="n">
        <v>8442.6</v>
      </c>
      <c r="U8" s="1" t="n">
        <v>8568.2</v>
      </c>
      <c r="V8" s="1" t="n">
        <v>8693.8</v>
      </c>
      <c r="W8" s="1" t="n">
        <v>8819.4</v>
      </c>
      <c r="X8" s="1" t="n">
        <v>8945</v>
      </c>
      <c r="Y8" s="1" t="n">
        <v>9070.6</v>
      </c>
      <c r="Z8" s="1" t="n">
        <v>9196.2</v>
      </c>
      <c r="AA8" s="1" t="n">
        <v>9321.8</v>
      </c>
      <c r="AB8" s="1" t="n">
        <v>9447.4</v>
      </c>
      <c r="AC8" s="1" t="n">
        <v>9573</v>
      </c>
      <c r="AD8" s="1" t="n">
        <v>9814.3</v>
      </c>
      <c r="AE8" s="1" t="n">
        <v>10055.6</v>
      </c>
      <c r="AF8" s="1" t="n">
        <v>10296.9</v>
      </c>
      <c r="AG8" s="1" t="n">
        <v>10538.2</v>
      </c>
      <c r="AH8" s="1" t="n">
        <v>10779.5</v>
      </c>
      <c r="AI8" s="1" t="n">
        <v>11020.8</v>
      </c>
      <c r="AJ8" s="1" t="n">
        <v>11262.1</v>
      </c>
      <c r="AK8" s="1" t="n">
        <v>11503.4</v>
      </c>
      <c r="AL8" s="1" t="n">
        <v>11744.7</v>
      </c>
      <c r="AM8" s="1" t="n">
        <v>11986</v>
      </c>
    </row>
    <row r="9" customFormat="false" ht="15" hidden="false" customHeight="true" outlineLevel="0" collapsed="false">
      <c r="A9" s="1" t="s">
        <v>53</v>
      </c>
      <c r="B9" s="17" t="n">
        <v>8635</v>
      </c>
      <c r="C9" s="17" t="n">
        <v>8716.14285714286</v>
      </c>
      <c r="D9" s="17" t="n">
        <v>8797.28571428571</v>
      </c>
      <c r="E9" s="17" t="n">
        <v>8878.42857142857</v>
      </c>
      <c r="F9" s="17" t="n">
        <v>8959.57142857143</v>
      </c>
      <c r="G9" s="17" t="n">
        <v>9040.71428571429</v>
      </c>
      <c r="H9" s="17" t="n">
        <v>9121.85714285714</v>
      </c>
      <c r="I9" s="17" t="n">
        <v>9203</v>
      </c>
      <c r="J9" s="17" t="n">
        <v>9114.4</v>
      </c>
      <c r="K9" s="17" t="n">
        <v>9025.8</v>
      </c>
      <c r="L9" s="17" t="n">
        <v>8937.2</v>
      </c>
      <c r="M9" s="17" t="n">
        <v>8848.6</v>
      </c>
      <c r="N9" s="17" t="n">
        <v>8760</v>
      </c>
      <c r="O9" s="17" t="n">
        <v>8671.4</v>
      </c>
      <c r="P9" s="17" t="n">
        <v>8582.8</v>
      </c>
      <c r="Q9" s="17" t="n">
        <v>8494.2</v>
      </c>
      <c r="R9" s="17" t="n">
        <v>8405.6</v>
      </c>
      <c r="S9" s="17" t="n">
        <v>8317</v>
      </c>
      <c r="T9" s="17" t="n">
        <v>8442.6</v>
      </c>
      <c r="U9" s="17" t="n">
        <v>8568.2</v>
      </c>
      <c r="V9" s="17" t="n">
        <v>8693.8</v>
      </c>
      <c r="W9" s="17" t="n">
        <v>8819.4</v>
      </c>
      <c r="X9" s="17" t="n">
        <v>8945</v>
      </c>
      <c r="Y9" s="17" t="n">
        <v>9070.6</v>
      </c>
      <c r="Z9" s="17" t="n">
        <v>9196.2</v>
      </c>
      <c r="AA9" s="17" t="n">
        <v>9321.8</v>
      </c>
      <c r="AB9" s="17" t="n">
        <v>9447.4</v>
      </c>
      <c r="AC9" s="17" t="n">
        <v>9573</v>
      </c>
      <c r="AD9" s="17" t="n">
        <v>9814.3</v>
      </c>
      <c r="AE9" s="17" t="n">
        <v>10055.6</v>
      </c>
      <c r="AF9" s="17" t="n">
        <v>10296.9</v>
      </c>
      <c r="AG9" s="17" t="n">
        <v>10538.2</v>
      </c>
      <c r="AH9" s="17" t="n">
        <v>10779.5</v>
      </c>
      <c r="AI9" s="17" t="n">
        <v>11020.8</v>
      </c>
      <c r="AJ9" s="17" t="n">
        <v>11262.1</v>
      </c>
      <c r="AK9" s="17" t="n">
        <v>11503.4</v>
      </c>
      <c r="AL9" s="1" t="n">
        <v>11744.7</v>
      </c>
      <c r="AM9" s="1" t="n">
        <v>11986</v>
      </c>
    </row>
    <row r="10" customFormat="false" ht="15" hidden="false" customHeight="true" outlineLevel="0" collapsed="false">
      <c r="A10" s="2" t="s">
        <v>49</v>
      </c>
      <c r="H10" s="1" t="n">
        <v>1</v>
      </c>
      <c r="I10" s="1" t="n">
        <f aca="false">I9/$H$9</f>
        <v>1.00889543169467</v>
      </c>
      <c r="J10" s="1" t="n">
        <f aca="false">J9/$H$9</f>
        <v>0.999182497298483</v>
      </c>
      <c r="K10" s="1" t="n">
        <f aca="false">K9/$H$9</f>
        <v>0.989469562902292</v>
      </c>
      <c r="L10" s="1" t="n">
        <f aca="false">L9/$H$9</f>
        <v>0.9797566285061</v>
      </c>
      <c r="M10" s="1" t="n">
        <f aca="false">M9/$H$9</f>
        <v>0.970043694109909</v>
      </c>
      <c r="N10" s="1" t="n">
        <f aca="false">N9/$H$9</f>
        <v>0.960330759713718</v>
      </c>
      <c r="O10" s="1" t="n">
        <f aca="false">O9/$H$9</f>
        <v>0.950617825317527</v>
      </c>
      <c r="P10" s="1" t="n">
        <f aca="false">P9/$H$9</f>
        <v>0.940904890921335</v>
      </c>
      <c r="Q10" s="1" t="n">
        <f aca="false">Q9/$H$9</f>
        <v>0.931191956525144</v>
      </c>
      <c r="R10" s="1" t="n">
        <f aca="false">R9/$H$9</f>
        <v>0.921479022128953</v>
      </c>
      <c r="S10" s="1" t="n">
        <f aca="false">S9/$H$9</f>
        <v>0.911766087732762</v>
      </c>
      <c r="T10" s="1" t="n">
        <f aca="false">T9/$H$9</f>
        <v>0.925535213693954</v>
      </c>
      <c r="U10" s="1" t="n">
        <f aca="false">U9/$H$9</f>
        <v>0.939304339655146</v>
      </c>
      <c r="V10" s="1" t="n">
        <f aca="false">V9/$H$9</f>
        <v>0.953073465616338</v>
      </c>
      <c r="W10" s="1" t="n">
        <f aca="false">W9/$H$9</f>
        <v>0.96684259157753</v>
      </c>
      <c r="X10" s="1" t="n">
        <f aca="false">X9/$H$9</f>
        <v>0.980611717538722</v>
      </c>
      <c r="Y10" s="1" t="n">
        <f aca="false">Y9/$H$9</f>
        <v>0.994380843499914</v>
      </c>
      <c r="Z10" s="1" t="n">
        <f aca="false">Z9/$H$9</f>
        <v>1.00814996946111</v>
      </c>
      <c r="AA10" s="1" t="n">
        <f aca="false">AA9/$H$9</f>
        <v>1.0219190954223</v>
      </c>
      <c r="AB10" s="1" t="n">
        <f aca="false">AB9/$H$9</f>
        <v>1.03568822138349</v>
      </c>
      <c r="AC10" s="1" t="n">
        <f aca="false">AC9/$H$9</f>
        <v>1.04945734734468</v>
      </c>
      <c r="AD10" s="1" t="n">
        <f aca="false">AD9/$H$9</f>
        <v>1.07591029395643</v>
      </c>
      <c r="AE10" s="1" t="n">
        <f aca="false">AE9/$H$9</f>
        <v>1.10236324056818</v>
      </c>
      <c r="AF10" s="1" t="n">
        <f aca="false">AF9/$H$9</f>
        <v>1.12881618717993</v>
      </c>
      <c r="AG10" s="1" t="n">
        <f aca="false">AG9/$H$9</f>
        <v>1.15526913379168</v>
      </c>
      <c r="AH10" s="1" t="n">
        <f aca="false">AH9/$H$9</f>
        <v>1.18172208040343</v>
      </c>
      <c r="AI10" s="1" t="n">
        <f aca="false">AI9/$H$9</f>
        <v>1.20817502701518</v>
      </c>
      <c r="AJ10" s="1" t="n">
        <f aca="false">AJ9/$H$9</f>
        <v>1.23462797362692</v>
      </c>
      <c r="AK10" s="1" t="n">
        <f aca="false">AK9/$H$9</f>
        <v>1.26108092023867</v>
      </c>
      <c r="AL10" s="1" t="n">
        <f aca="false">AL9/$H$9</f>
        <v>1.28753386685042</v>
      </c>
      <c r="AM10" s="1" t="n">
        <f aca="false">AM9/$H$9</f>
        <v>1.31398681346217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2"/>
    <col collapsed="false" customWidth="true" hidden="false" outlineLevel="0" max="2" min="2" style="1" width="12"/>
    <col collapsed="false" customWidth="true" hidden="false" outlineLevel="0" max="3" min="3" style="1" width="18"/>
    <col collapsed="false" customWidth="true" hidden="false" outlineLevel="0" max="4" min="4" style="1" width="14"/>
    <col collapsed="false" customWidth="true" hidden="false" outlineLevel="0" max="5" min="5" style="1" width="22"/>
    <col collapsed="false" customWidth="true" hidden="false" outlineLevel="0" max="6" min="6" style="1" width="90"/>
    <col collapsed="false" customWidth="true" hidden="false" outlineLevel="0" max="7" min="7" style="1" width="20"/>
  </cols>
  <sheetData>
    <row r="1" customFormat="false" ht="15.75" hidden="false" customHeight="true" outlineLevel="0" collapsed="false">
      <c r="A1" s="23" t="s">
        <v>69</v>
      </c>
    </row>
    <row r="2" customFormat="false" ht="15" hidden="false" customHeight="true" outlineLevel="0" collapsed="false">
      <c r="A2" s="1" t="s">
        <v>70</v>
      </c>
    </row>
    <row r="4" customFormat="false" ht="15" hidden="false" customHeight="true" outlineLevel="0" collapsed="false">
      <c r="A4" s="24" t="s">
        <v>71</v>
      </c>
      <c r="B4" s="24" t="s">
        <v>72</v>
      </c>
      <c r="C4" s="24" t="s">
        <v>73</v>
      </c>
      <c r="D4" s="24" t="s">
        <v>59</v>
      </c>
      <c r="E4" s="24" t="s">
        <v>74</v>
      </c>
      <c r="F4" s="24" t="s">
        <v>75</v>
      </c>
    </row>
    <row r="5" customFormat="false" ht="175.5" hidden="false" customHeight="true" outlineLevel="0" collapsed="false">
      <c r="A5" s="1" t="s">
        <v>76</v>
      </c>
      <c r="B5" s="25" t="n">
        <v>57.47</v>
      </c>
      <c r="C5" s="1" t="s">
        <v>77</v>
      </c>
      <c r="D5" s="1" t="s">
        <v>78</v>
      </c>
      <c r="E5" s="8" t="s">
        <v>79</v>
      </c>
      <c r="F5" s="8"/>
    </row>
    <row r="6" customFormat="false" ht="15" hidden="false" customHeight="true" outlineLevel="0" collapsed="false">
      <c r="A6" s="1" t="s">
        <v>80</v>
      </c>
      <c r="B6" s="26" t="n">
        <v>0.003</v>
      </c>
      <c r="C6" s="1" t="s">
        <v>81</v>
      </c>
      <c r="D6" s="1" t="s">
        <v>78</v>
      </c>
      <c r="E6" s="8" t="s">
        <v>82</v>
      </c>
      <c r="F6" s="8" t="s">
        <v>83</v>
      </c>
    </row>
    <row r="7" customFormat="false" ht="175.5" hidden="false" customHeight="true" outlineLevel="0" collapsed="false">
      <c r="A7" s="1" t="s">
        <v>76</v>
      </c>
      <c r="B7" s="25" t="n">
        <v>67.25</v>
      </c>
      <c r="C7" s="1" t="s">
        <v>77</v>
      </c>
      <c r="D7" s="1" t="s">
        <v>84</v>
      </c>
      <c r="E7" s="8" t="s">
        <v>85</v>
      </c>
      <c r="F7" s="8"/>
    </row>
    <row r="8" customFormat="false" ht="27.75" hidden="false" customHeight="true" outlineLevel="0" collapsed="false">
      <c r="A8" s="1" t="s">
        <v>86</v>
      </c>
      <c r="B8" s="25" t="n">
        <v>35.82</v>
      </c>
      <c r="C8" s="1" t="s">
        <v>77</v>
      </c>
      <c r="D8" s="1" t="s">
        <v>78</v>
      </c>
      <c r="E8" s="8" t="s">
        <v>87</v>
      </c>
      <c r="F8" s="8"/>
    </row>
    <row r="9" customFormat="false" ht="27.75" hidden="false" customHeight="true" outlineLevel="0" collapsed="false">
      <c r="A9" s="1" t="s">
        <v>88</v>
      </c>
      <c r="B9" s="26" t="n">
        <v>-0.0613</v>
      </c>
      <c r="C9" s="1" t="s">
        <v>81</v>
      </c>
      <c r="D9" s="1" t="s">
        <v>78</v>
      </c>
      <c r="E9" s="8" t="s">
        <v>87</v>
      </c>
      <c r="F9" s="8" t="s">
        <v>89</v>
      </c>
    </row>
    <row r="10" customFormat="false" ht="27.75" hidden="false" customHeight="true" outlineLevel="0" collapsed="false">
      <c r="A10" s="1" t="s">
        <v>86</v>
      </c>
      <c r="B10" s="25" t="n">
        <v>44.19</v>
      </c>
      <c r="C10" s="1" t="s">
        <v>77</v>
      </c>
      <c r="D10" s="1" t="s">
        <v>84</v>
      </c>
      <c r="E10" s="8" t="s">
        <v>90</v>
      </c>
      <c r="F10" s="8"/>
    </row>
    <row r="11" customFormat="false" ht="27.75" hidden="false" customHeight="true" outlineLevel="0" collapsed="false">
      <c r="A11" s="1" t="s">
        <v>91</v>
      </c>
      <c r="B11" s="25" t="n">
        <v>19.26</v>
      </c>
      <c r="C11" s="1" t="s">
        <v>77</v>
      </c>
      <c r="D11" s="1" t="s">
        <v>78</v>
      </c>
      <c r="E11" s="8" t="s">
        <v>87</v>
      </c>
      <c r="F11" s="8"/>
    </row>
    <row r="12" customFormat="false" ht="27.75" hidden="false" customHeight="true" outlineLevel="0" collapsed="false">
      <c r="A12" s="1" t="s">
        <v>92</v>
      </c>
      <c r="B12" s="26" t="n">
        <v>-0.1458</v>
      </c>
      <c r="C12" s="1" t="s">
        <v>81</v>
      </c>
      <c r="D12" s="1" t="s">
        <v>78</v>
      </c>
      <c r="E12" s="8" t="s">
        <v>87</v>
      </c>
      <c r="F12" s="8" t="s">
        <v>93</v>
      </c>
    </row>
    <row r="13" customFormat="false" ht="27.75" hidden="false" customHeight="true" outlineLevel="0" collapsed="false">
      <c r="A13" s="1" t="s">
        <v>91</v>
      </c>
      <c r="B13" s="25" t="n">
        <v>21.66</v>
      </c>
      <c r="C13" s="1" t="s">
        <v>77</v>
      </c>
      <c r="D13" s="1" t="s">
        <v>84</v>
      </c>
      <c r="E13" s="8" t="s">
        <v>90</v>
      </c>
      <c r="F13" s="8"/>
    </row>
    <row r="14" customFormat="false" ht="81.75" hidden="false" customHeight="true" outlineLevel="0" collapsed="false">
      <c r="A14" s="1" t="s">
        <v>94</v>
      </c>
      <c r="B14" s="27" t="n">
        <v>0.7</v>
      </c>
      <c r="C14" s="1" t="s">
        <v>95</v>
      </c>
      <c r="D14" s="1" t="s">
        <v>96</v>
      </c>
      <c r="E14" s="8" t="s">
        <v>97</v>
      </c>
      <c r="F14" s="8" t="s">
        <v>98</v>
      </c>
    </row>
    <row r="15" customFormat="false" ht="122.25" hidden="false" customHeight="true" outlineLevel="0" collapsed="false">
      <c r="A15" s="1" t="s">
        <v>99</v>
      </c>
      <c r="B15" s="26" t="n">
        <v>-0.487</v>
      </c>
      <c r="C15" s="1" t="s">
        <v>81</v>
      </c>
      <c r="D15" s="1" t="s">
        <v>78</v>
      </c>
      <c r="E15" s="8" t="s">
        <v>100</v>
      </c>
      <c r="F15" s="8" t="s">
        <v>101</v>
      </c>
    </row>
    <row r="16" customFormat="false" ht="135.75" hidden="false" customHeight="true" outlineLevel="0" collapsed="false">
      <c r="A16" s="1" t="s">
        <v>102</v>
      </c>
      <c r="B16" s="26" t="n">
        <v>0.053</v>
      </c>
      <c r="C16" s="1" t="s">
        <v>81</v>
      </c>
      <c r="D16" s="1" t="s">
        <v>103</v>
      </c>
      <c r="E16" s="8" t="s">
        <v>104</v>
      </c>
      <c r="F16" s="8" t="s">
        <v>105</v>
      </c>
    </row>
    <row r="17" customFormat="false" ht="27.75" hidden="false" customHeight="true" outlineLevel="0" collapsed="false">
      <c r="A17" s="1" t="s">
        <v>106</v>
      </c>
      <c r="B17" s="25" t="n">
        <v>324438</v>
      </c>
      <c r="C17" s="1" t="s">
        <v>107</v>
      </c>
      <c r="D17" s="1" t="s">
        <v>78</v>
      </c>
      <c r="E17" s="8" t="s">
        <v>108</v>
      </c>
      <c r="F17" s="8"/>
    </row>
    <row r="18" customFormat="false" ht="27.75" hidden="false" customHeight="true" outlineLevel="0" collapsed="false">
      <c r="A18" s="1" t="s">
        <v>109</v>
      </c>
      <c r="B18" s="26" t="n">
        <v>-0.283</v>
      </c>
      <c r="C18" s="1" t="s">
        <v>81</v>
      </c>
      <c r="D18" s="1" t="s">
        <v>78</v>
      </c>
      <c r="E18" s="8" t="s">
        <v>108</v>
      </c>
      <c r="F18" s="8" t="s">
        <v>110</v>
      </c>
    </row>
    <row r="19" customFormat="false" ht="162" hidden="false" customHeight="true" outlineLevel="0" collapsed="false">
      <c r="A19" s="1" t="s">
        <v>106</v>
      </c>
      <c r="B19" s="25" t="n">
        <v>488000</v>
      </c>
      <c r="C19" s="1" t="s">
        <v>107</v>
      </c>
      <c r="D19" s="1" t="s">
        <v>84</v>
      </c>
      <c r="E19" s="8" t="s">
        <v>111</v>
      </c>
      <c r="F19" s="8" t="s">
        <v>112</v>
      </c>
    </row>
    <row r="20" customFormat="false" ht="95.25" hidden="false" customHeight="true" outlineLevel="0" collapsed="false">
      <c r="A20" s="1" t="s">
        <v>113</v>
      </c>
      <c r="B20" s="25" t="n">
        <v>366</v>
      </c>
      <c r="C20" s="1" t="s">
        <v>114</v>
      </c>
      <c r="D20" s="1" t="s">
        <v>115</v>
      </c>
      <c r="E20" s="8" t="s">
        <v>116</v>
      </c>
      <c r="F20" s="8" t="s">
        <v>117</v>
      </c>
    </row>
    <row r="21" customFormat="false" ht="41.25" hidden="false" customHeight="true" outlineLevel="0" collapsed="false">
      <c r="A21" s="1" t="s">
        <v>113</v>
      </c>
      <c r="B21" s="25" t="n">
        <v>365.1</v>
      </c>
      <c r="C21" s="1" t="s">
        <v>114</v>
      </c>
      <c r="D21" s="1" t="s">
        <v>78</v>
      </c>
      <c r="E21" s="8" t="s">
        <v>118</v>
      </c>
      <c r="F21" s="8"/>
    </row>
    <row r="22" customFormat="false" ht="81.75" hidden="false" customHeight="true" outlineLevel="0" collapsed="false">
      <c r="A22" s="1" t="s">
        <v>113</v>
      </c>
      <c r="B22" s="25" t="n">
        <v>371.1</v>
      </c>
      <c r="C22" s="1" t="s">
        <v>114</v>
      </c>
      <c r="D22" s="1" t="s">
        <v>119</v>
      </c>
      <c r="E22" s="8" t="s">
        <v>120</v>
      </c>
      <c r="F22" s="8"/>
    </row>
    <row r="23" customFormat="false" ht="95.25" hidden="false" customHeight="true" outlineLevel="0" collapsed="false">
      <c r="A23" s="1" t="s">
        <v>121</v>
      </c>
      <c r="B23" s="25" t="n">
        <v>1.151</v>
      </c>
      <c r="C23" s="1" t="s">
        <v>122</v>
      </c>
      <c r="D23" s="1" t="s">
        <v>78</v>
      </c>
      <c r="E23" s="8" t="s">
        <v>123</v>
      </c>
      <c r="F23" s="8" t="s">
        <v>124</v>
      </c>
    </row>
    <row r="24" customFormat="false" ht="27.75" hidden="false" customHeight="true" outlineLevel="0" collapsed="false">
      <c r="A24" s="1" t="s">
        <v>125</v>
      </c>
      <c r="B24" s="26" t="n">
        <v>0.042</v>
      </c>
      <c r="C24" s="1" t="s">
        <v>81</v>
      </c>
      <c r="D24" s="1" t="s">
        <v>78</v>
      </c>
      <c r="E24" s="8" t="s">
        <v>126</v>
      </c>
      <c r="F24" s="8" t="s">
        <v>127</v>
      </c>
    </row>
    <row r="25" customFormat="false" ht="108.75" hidden="false" customHeight="true" outlineLevel="0" collapsed="false">
      <c r="A25" s="1" t="s">
        <v>121</v>
      </c>
      <c r="B25" s="25" t="n">
        <v>1.32</v>
      </c>
      <c r="C25" s="1" t="s">
        <v>122</v>
      </c>
      <c r="D25" s="1" t="s">
        <v>84</v>
      </c>
      <c r="E25" s="8" t="s">
        <v>128</v>
      </c>
      <c r="F25" s="8"/>
    </row>
    <row r="26" customFormat="false" ht="135.75" hidden="false" customHeight="true" outlineLevel="0" collapsed="false">
      <c r="A26" s="1" t="s">
        <v>129</v>
      </c>
      <c r="B26" s="25" t="n">
        <v>3.3</v>
      </c>
      <c r="C26" s="1" t="s">
        <v>130</v>
      </c>
      <c r="D26" s="1" t="s">
        <v>115</v>
      </c>
      <c r="E26" s="8" t="s">
        <v>131</v>
      </c>
      <c r="F26" s="8"/>
    </row>
    <row r="27" customFormat="false" ht="27.75" hidden="false" customHeight="true" outlineLevel="0" collapsed="false">
      <c r="A27" s="1" t="s">
        <v>132</v>
      </c>
      <c r="B27" s="26" t="n">
        <v>-0.467</v>
      </c>
      <c r="C27" s="1" t="s">
        <v>81</v>
      </c>
      <c r="D27" s="1" t="s">
        <v>78</v>
      </c>
      <c r="E27" s="8" t="s">
        <v>133</v>
      </c>
      <c r="F27" s="8" t="s">
        <v>134</v>
      </c>
    </row>
    <row r="28" customFormat="false" ht="108.75" hidden="false" customHeight="true" outlineLevel="0" collapsed="false">
      <c r="A28" s="1" t="s">
        <v>129</v>
      </c>
      <c r="B28" s="25" t="n">
        <v>2.57</v>
      </c>
      <c r="C28" s="1" t="s">
        <v>130</v>
      </c>
      <c r="D28" s="1" t="s">
        <v>84</v>
      </c>
      <c r="E28" s="8" t="s">
        <v>135</v>
      </c>
      <c r="F28" s="8" t="s">
        <v>136</v>
      </c>
    </row>
    <row r="29" customFormat="false" ht="95.25" hidden="false" customHeight="true" outlineLevel="0" collapsed="false">
      <c r="A29" s="1" t="s">
        <v>137</v>
      </c>
      <c r="B29" s="26" t="n">
        <v>-0.511</v>
      </c>
      <c r="C29" s="1" t="s">
        <v>81</v>
      </c>
      <c r="D29" s="1" t="s">
        <v>78</v>
      </c>
      <c r="E29" s="8" t="s">
        <v>138</v>
      </c>
      <c r="F29" s="8" t="s">
        <v>139</v>
      </c>
    </row>
    <row r="30" customFormat="false" ht="54.75" hidden="false" customHeight="true" outlineLevel="0" collapsed="false">
      <c r="A30" s="1" t="s">
        <v>140</v>
      </c>
      <c r="B30" s="26" t="n">
        <v>-0.195</v>
      </c>
      <c r="C30" s="1" t="s">
        <v>81</v>
      </c>
      <c r="D30" s="1" t="s">
        <v>84</v>
      </c>
      <c r="E30" s="8" t="s">
        <v>141</v>
      </c>
      <c r="F30" s="8" t="s">
        <v>142</v>
      </c>
    </row>
    <row r="31" customFormat="false" ht="81.75" hidden="false" customHeight="true" outlineLevel="0" collapsed="false">
      <c r="A31" s="1" t="s">
        <v>143</v>
      </c>
      <c r="B31" s="25" t="n">
        <v>90</v>
      </c>
      <c r="C31" s="1" t="s">
        <v>144</v>
      </c>
      <c r="D31" s="1" t="s">
        <v>115</v>
      </c>
      <c r="E31" s="8" t="s">
        <v>145</v>
      </c>
      <c r="F31" s="8" t="s">
        <v>146</v>
      </c>
    </row>
    <row r="32" customFormat="false" ht="15" hidden="false" customHeight="true" outlineLevel="0" collapsed="false">
      <c r="A32" s="1" t="s">
        <v>143</v>
      </c>
      <c r="B32" s="25" t="n">
        <v>46</v>
      </c>
      <c r="C32" s="1" t="s">
        <v>144</v>
      </c>
      <c r="D32" s="1" t="s">
        <v>78</v>
      </c>
      <c r="E32" s="8" t="s">
        <v>147</v>
      </c>
      <c r="F32" s="8" t="s">
        <v>148</v>
      </c>
    </row>
    <row r="33" customFormat="false" ht="15" hidden="false" customHeight="true" outlineLevel="0" collapsed="false">
      <c r="E33" s="8"/>
      <c r="F33" s="8"/>
    </row>
    <row r="34" customFormat="false" ht="15" hidden="false" customHeight="true" outlineLevel="0" collapsed="false">
      <c r="A34" s="28" t="s">
        <v>149</v>
      </c>
      <c r="E34" s="8"/>
      <c r="F34" s="8"/>
    </row>
    <row r="35" customFormat="false" ht="15" hidden="false" customHeight="true" outlineLevel="0" collapsed="false">
      <c r="A35" s="1" t="s">
        <v>150</v>
      </c>
      <c r="B35" s="29" t="n">
        <f aca="false">B5/(1+B6)</f>
        <v>57.2981056829512</v>
      </c>
      <c r="C35" s="1" t="s">
        <v>77</v>
      </c>
      <c r="E35" s="8"/>
      <c r="F35" s="8"/>
    </row>
    <row r="36" customFormat="false" ht="15" hidden="false" customHeight="true" outlineLevel="0" collapsed="false">
      <c r="A36" s="1" t="s">
        <v>151</v>
      </c>
      <c r="B36" s="29" t="n">
        <f aca="false">B8/(1+B9)</f>
        <v>38.1591562799617</v>
      </c>
      <c r="C36" s="1" t="s">
        <v>77</v>
      </c>
      <c r="E36" s="8"/>
      <c r="F36" s="8"/>
    </row>
    <row r="37" customFormat="false" ht="15" hidden="false" customHeight="true" outlineLevel="0" collapsed="false">
      <c r="A37" s="1" t="s">
        <v>152</v>
      </c>
      <c r="B37" s="29" t="n">
        <f aca="false">B11/(1+B12)</f>
        <v>22.5474127838914</v>
      </c>
      <c r="C37" s="1" t="s">
        <v>77</v>
      </c>
      <c r="E37" s="8"/>
      <c r="F37" s="8"/>
    </row>
    <row r="38" customFormat="false" ht="15" hidden="false" customHeight="true" outlineLevel="0" collapsed="false">
      <c r="A38" s="1" t="s">
        <v>153</v>
      </c>
      <c r="B38" s="29" t="n">
        <f aca="false">B17/(1+B18)</f>
        <v>452493.723849372</v>
      </c>
      <c r="C38" s="1" t="s">
        <v>107</v>
      </c>
      <c r="E38" s="8"/>
      <c r="F38" s="8"/>
    </row>
    <row r="39" customFormat="false" ht="15" hidden="false" customHeight="true" outlineLevel="0" collapsed="false">
      <c r="A39" s="1" t="s">
        <v>154</v>
      </c>
      <c r="B39" s="29" t="n">
        <f aca="false">B23/(1+B24)</f>
        <v>1.10460652591171</v>
      </c>
      <c r="C39" s="1" t="s">
        <v>122</v>
      </c>
      <c r="E39" s="8"/>
      <c r="F39" s="8"/>
    </row>
    <row r="40" customFormat="false" ht="15" hidden="false" customHeight="true" outlineLevel="0" collapsed="false">
      <c r="A40" s="1" t="s">
        <v>155</v>
      </c>
      <c r="B40" s="29" t="n">
        <f aca="false">B36+B14*B37</f>
        <v>53.9423452286856</v>
      </c>
      <c r="C40" s="1" t="s">
        <v>156</v>
      </c>
      <c r="E40" s="8"/>
      <c r="F40" s="8"/>
    </row>
    <row r="41" customFormat="false" ht="15" hidden="false" customHeight="true" outlineLevel="0" collapsed="false">
      <c r="A41" s="1" t="s">
        <v>157</v>
      </c>
      <c r="B41" s="29" t="n">
        <f aca="false">B8+B14*B11</f>
        <v>49.302</v>
      </c>
      <c r="C41" s="1" t="s">
        <v>156</v>
      </c>
      <c r="E41" s="8"/>
      <c r="F41" s="8"/>
    </row>
    <row r="42" customFormat="false" ht="15" hidden="false" customHeight="true" outlineLevel="0" collapsed="false">
      <c r="A42" s="1" t="s">
        <v>158</v>
      </c>
      <c r="B42" s="29" t="n">
        <f aca="false">B10+B14*B13</f>
        <v>59.352</v>
      </c>
      <c r="C42" s="1" t="s">
        <v>156</v>
      </c>
      <c r="E42" s="8"/>
      <c r="F42" s="8"/>
    </row>
    <row r="43" customFormat="false" ht="15" hidden="false" customHeight="true" outlineLevel="0" collapsed="false">
      <c r="A43" s="1" t="s">
        <v>159</v>
      </c>
      <c r="B43" s="30" t="n">
        <f aca="false">('psgr-Road'!F22+'psgr-Road'!F23)/SUM('psgr-Road'!F22:F24)</f>
        <v>0.817794203589624</v>
      </c>
      <c r="C43" s="1" t="s">
        <v>81</v>
      </c>
      <c r="E43" s="8"/>
      <c r="F43" s="8"/>
    </row>
    <row r="44" customFormat="false" ht="15" hidden="false" customHeight="true" outlineLevel="0" collapsed="false">
      <c r="E44" s="8"/>
      <c r="F44" s="8"/>
    </row>
    <row r="45" customFormat="false" ht="15" hidden="false" customHeight="true" outlineLevel="0" collapsed="false">
      <c r="A45" s="28" t="s">
        <v>160</v>
      </c>
      <c r="E45" s="8"/>
      <c r="F45" s="8"/>
    </row>
    <row r="46" customFormat="false" ht="27.75" hidden="false" customHeight="true" outlineLevel="0" collapsed="false">
      <c r="A46" s="24" t="s">
        <v>161</v>
      </c>
      <c r="B46" s="24" t="s">
        <v>162</v>
      </c>
      <c r="C46" s="24" t="s">
        <v>163</v>
      </c>
      <c r="D46" s="24" t="s">
        <v>164</v>
      </c>
      <c r="E46" s="31" t="s">
        <v>165</v>
      </c>
      <c r="F46" s="31" t="s">
        <v>166</v>
      </c>
      <c r="G46" s="31" t="s">
        <v>167</v>
      </c>
    </row>
    <row r="47" customFormat="false" ht="15" hidden="false" customHeight="true" outlineLevel="0" collapsed="false">
      <c r="A47" s="1" t="s">
        <v>168</v>
      </c>
      <c r="B47" s="1" t="s">
        <v>169</v>
      </c>
      <c r="C47" s="32" t="n">
        <f aca="false">B41/B40</f>
        <v>0.913975834587593</v>
      </c>
      <c r="D47" s="25" t="n">
        <v>2024</v>
      </c>
      <c r="E47" s="33" t="n">
        <f aca="false">B42/B40</f>
        <v>1.10028586536941</v>
      </c>
      <c r="F47" s="8" t="s">
        <v>170</v>
      </c>
      <c r="G47" s="34" t="n">
        <f aca="false">$G$61</f>
        <v>1.15</v>
      </c>
    </row>
    <row r="48" customFormat="false" ht="27.75" hidden="false" customHeight="true" outlineLevel="0" collapsed="false">
      <c r="A48" s="1" t="s">
        <v>171</v>
      </c>
      <c r="B48" s="1" t="s">
        <v>169</v>
      </c>
      <c r="C48" s="32" t="n">
        <f aca="false">B43*(1+B29)+(1-B43)*B32/B31</f>
        <v>0.493028772609518</v>
      </c>
      <c r="D48" s="25" t="n">
        <v>2024</v>
      </c>
      <c r="E48" s="33" t="n">
        <f aca="false">1+B30</f>
        <v>0.805</v>
      </c>
      <c r="F48" s="8" t="s">
        <v>172</v>
      </c>
      <c r="G48" s="34" t="n">
        <f aca="false">$G$61</f>
        <v>1.15</v>
      </c>
    </row>
    <row r="49" customFormat="false" ht="15" hidden="false" customHeight="true" outlineLevel="0" collapsed="false">
      <c r="A49" s="1" t="s">
        <v>21</v>
      </c>
      <c r="B49" s="1" t="s">
        <v>169</v>
      </c>
      <c r="C49" s="32" t="n">
        <f aca="false">1+B15</f>
        <v>0.513</v>
      </c>
      <c r="D49" s="25" t="n">
        <v>2025</v>
      </c>
      <c r="E49" s="33" t="n">
        <f aca="false">1+B16</f>
        <v>1.053</v>
      </c>
      <c r="F49" s="8" t="s">
        <v>173</v>
      </c>
      <c r="G49" s="34" t="n">
        <f aca="false">$G$61</f>
        <v>1.15</v>
      </c>
    </row>
    <row r="50" customFormat="false" ht="15" hidden="false" customHeight="true" outlineLevel="0" collapsed="false">
      <c r="A50" s="1" t="s">
        <v>174</v>
      </c>
      <c r="B50" s="1" t="s">
        <v>169</v>
      </c>
      <c r="C50" s="32" t="n">
        <f aca="false">1+B27</f>
        <v>0.533</v>
      </c>
      <c r="D50" s="25" t="n">
        <v>2024</v>
      </c>
      <c r="E50" s="33" t="n">
        <f aca="false">B28/B26</f>
        <v>0.778787878787879</v>
      </c>
      <c r="F50" s="8" t="s">
        <v>175</v>
      </c>
      <c r="G50" s="34" t="n">
        <f aca="false">$G$61</f>
        <v>1.15</v>
      </c>
    </row>
    <row r="51" customFormat="false" ht="15" hidden="false" customHeight="true" outlineLevel="0" collapsed="false">
      <c r="A51" s="1" t="s">
        <v>20</v>
      </c>
      <c r="B51" s="1" t="s">
        <v>169</v>
      </c>
      <c r="C51" s="32" t="n">
        <f aca="false">1+B27</f>
        <v>0.533</v>
      </c>
      <c r="D51" s="25" t="n">
        <v>2024</v>
      </c>
      <c r="E51" s="33" t="n">
        <f aca="false">B28/B26</f>
        <v>0.778787878787879</v>
      </c>
      <c r="F51" s="8" t="s">
        <v>176</v>
      </c>
      <c r="G51" s="34" t="n">
        <f aca="false">$G$61</f>
        <v>1.15</v>
      </c>
    </row>
    <row r="52" customFormat="false" ht="15" hidden="false" customHeight="true" outlineLevel="0" collapsed="false">
      <c r="A52" s="1" t="s">
        <v>177</v>
      </c>
      <c r="B52" s="1" t="s">
        <v>169</v>
      </c>
      <c r="C52" s="32" t="n">
        <f aca="false">B41/B40</f>
        <v>0.913975834587593</v>
      </c>
      <c r="D52" s="25" t="n">
        <v>2024</v>
      </c>
      <c r="E52" s="33" t="n">
        <f aca="false">B42/B40</f>
        <v>1.10028586536941</v>
      </c>
      <c r="F52" s="8" t="s">
        <v>178</v>
      </c>
      <c r="G52" s="34" t="n">
        <f aca="false">$G$61</f>
        <v>1.15</v>
      </c>
    </row>
    <row r="53" customFormat="false" ht="15" hidden="false" customHeight="true" outlineLevel="0" collapsed="false">
      <c r="A53" s="1" t="s">
        <v>168</v>
      </c>
      <c r="B53" s="1" t="s">
        <v>179</v>
      </c>
      <c r="C53" s="32" t="n">
        <f aca="false">B5/B35</f>
        <v>1.003</v>
      </c>
      <c r="D53" s="25" t="n">
        <v>2024</v>
      </c>
      <c r="E53" s="33" t="n">
        <f aca="false">B7/B35</f>
        <v>1.17368627109796</v>
      </c>
      <c r="F53" s="8" t="s">
        <v>180</v>
      </c>
      <c r="G53" s="34" t="n">
        <f aca="false">$G$61</f>
        <v>1.15</v>
      </c>
    </row>
    <row r="54" customFormat="false" ht="15" hidden="false" customHeight="true" outlineLevel="0" collapsed="false">
      <c r="A54" s="1" t="s">
        <v>171</v>
      </c>
      <c r="B54" s="1" t="s">
        <v>179</v>
      </c>
      <c r="C54" s="32" t="n">
        <f aca="false">B5/B35</f>
        <v>1.003</v>
      </c>
      <c r="D54" s="25" t="n">
        <v>2024</v>
      </c>
      <c r="E54" s="33" t="n">
        <f aca="false">B7/B35</f>
        <v>1.17368627109796</v>
      </c>
      <c r="F54" s="8" t="s">
        <v>180</v>
      </c>
      <c r="G54" s="34" t="n">
        <f aca="false">$G$61</f>
        <v>1.15</v>
      </c>
    </row>
    <row r="55" customFormat="false" ht="15" hidden="false" customHeight="true" outlineLevel="0" collapsed="false">
      <c r="A55" s="1" t="s">
        <v>21</v>
      </c>
      <c r="B55" s="1" t="s">
        <v>179</v>
      </c>
      <c r="C55" s="32" t="n">
        <f aca="false">1+B18</f>
        <v>0.717</v>
      </c>
      <c r="D55" s="25" t="n">
        <v>2024</v>
      </c>
      <c r="E55" s="33" t="n">
        <f aca="false">B19/B38</f>
        <v>1.07846799696706</v>
      </c>
      <c r="F55" s="8" t="s">
        <v>181</v>
      </c>
      <c r="G55" s="34" t="n">
        <f aca="false">$G$61</f>
        <v>1.15</v>
      </c>
    </row>
    <row r="56" customFormat="false" ht="15" hidden="false" customHeight="true" outlineLevel="0" collapsed="false">
      <c r="A56" s="1" t="s">
        <v>174</v>
      </c>
      <c r="B56" s="1" t="s">
        <v>179</v>
      </c>
      <c r="C56" s="32" t="n">
        <f aca="false">B21/B20</f>
        <v>0.997540983606557</v>
      </c>
      <c r="D56" s="25" t="n">
        <v>2022</v>
      </c>
      <c r="E56" s="33" t="n">
        <f aca="false">B22/B20</f>
        <v>1.01393442622951</v>
      </c>
      <c r="F56" s="8" t="s">
        <v>182</v>
      </c>
      <c r="G56" s="34" t="n">
        <f aca="false">$G$61</f>
        <v>1.15</v>
      </c>
    </row>
    <row r="57" customFormat="false" ht="15" hidden="false" customHeight="true" outlineLevel="0" collapsed="false">
      <c r="A57" s="1" t="s">
        <v>20</v>
      </c>
      <c r="B57" s="1" t="s">
        <v>179</v>
      </c>
      <c r="C57" s="32" t="n">
        <f aca="false">1+B24</f>
        <v>1.042</v>
      </c>
      <c r="D57" s="25" t="n">
        <v>2024</v>
      </c>
      <c r="E57" s="33" t="n">
        <f aca="false">B25/B39</f>
        <v>1.19499565595135</v>
      </c>
      <c r="F57" s="8" t="s">
        <v>183</v>
      </c>
      <c r="G57" s="34" t="n">
        <f aca="false">$G$61</f>
        <v>1.15</v>
      </c>
    </row>
    <row r="58" customFormat="false" ht="15" hidden="false" customHeight="true" outlineLevel="0" collapsed="false">
      <c r="A58" s="1" t="s">
        <v>177</v>
      </c>
      <c r="B58" s="1" t="s">
        <v>179</v>
      </c>
      <c r="C58" s="32" t="n">
        <v>0</v>
      </c>
      <c r="D58" s="25" t="n">
        <v>2024</v>
      </c>
      <c r="E58" s="33" t="n">
        <v>0</v>
      </c>
      <c r="F58" s="8" t="s">
        <v>184</v>
      </c>
      <c r="G58" s="34" t="n">
        <v>0</v>
      </c>
    </row>
    <row r="59" customFormat="false" ht="15" hidden="false" customHeight="true" outlineLevel="0" collapsed="false">
      <c r="E59" s="8"/>
      <c r="F59" s="8"/>
      <c r="G59" s="1" t="s">
        <v>185</v>
      </c>
    </row>
    <row r="61" customFormat="false" ht="15" hidden="false" customHeight="true" outlineLevel="0" collapsed="false">
      <c r="F61" s="28" t="s">
        <v>186</v>
      </c>
      <c r="G61" s="35" t="n">
        <v>1.15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5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39" min="35" style="1" width="13"/>
  </cols>
  <sheetData>
    <row r="1" customFormat="false" ht="15.75" hidden="false" customHeight="true" outlineLevel="0" collapsed="false">
      <c r="A1" s="23" t="s">
        <v>187</v>
      </c>
    </row>
    <row r="2" customFormat="false" ht="15" hidden="false" customHeight="true" outlineLevel="0" collapsed="false">
      <c r="A2" s="1" t="s">
        <v>188</v>
      </c>
    </row>
    <row r="3" customFormat="false" ht="15" hidden="false" customHeight="true" outlineLevel="0" collapsed="false">
      <c r="A3" s="1" t="s">
        <v>189</v>
      </c>
    </row>
    <row r="4" customFormat="false" ht="15" hidden="false" customHeight="true" outlineLevel="0" collapsed="false">
      <c r="A4" s="1" t="s">
        <v>190</v>
      </c>
    </row>
    <row r="6" customFormat="false" ht="15" hidden="false" customHeight="true" outlineLevel="0" collapsed="false">
      <c r="A6" s="28" t="s">
        <v>191</v>
      </c>
      <c r="AI6" s="1" t="s">
        <v>192</v>
      </c>
    </row>
    <row r="7" customFormat="false" ht="15" hidden="false" customHeight="true" outlineLevel="0" collapsed="false">
      <c r="A7" s="28" t="s">
        <v>161</v>
      </c>
      <c r="B7" s="28" t="n">
        <v>2019</v>
      </c>
      <c r="C7" s="28" t="n">
        <v>2020</v>
      </c>
      <c r="D7" s="28" t="n">
        <v>2021</v>
      </c>
      <c r="E7" s="28" t="n">
        <v>2022</v>
      </c>
      <c r="F7" s="28" t="n">
        <v>2023</v>
      </c>
      <c r="G7" s="28" t="n">
        <v>2024</v>
      </c>
      <c r="H7" s="28" t="n">
        <v>2025</v>
      </c>
      <c r="I7" s="28" t="n">
        <v>2026</v>
      </c>
      <c r="J7" s="28" t="n">
        <v>2027</v>
      </c>
      <c r="K7" s="28" t="n">
        <v>2028</v>
      </c>
      <c r="L7" s="28" t="n">
        <v>2029</v>
      </c>
      <c r="M7" s="28" t="n">
        <v>2030</v>
      </c>
      <c r="N7" s="28" t="n">
        <v>2031</v>
      </c>
      <c r="O7" s="28" t="n">
        <v>2032</v>
      </c>
      <c r="P7" s="28" t="n">
        <v>2033</v>
      </c>
      <c r="Q7" s="28" t="n">
        <v>2034</v>
      </c>
      <c r="R7" s="28" t="n">
        <v>2035</v>
      </c>
      <c r="S7" s="28" t="n">
        <v>2036</v>
      </c>
      <c r="T7" s="28" t="n">
        <v>2037</v>
      </c>
      <c r="U7" s="28" t="n">
        <v>2038</v>
      </c>
      <c r="V7" s="28" t="n">
        <v>2039</v>
      </c>
      <c r="W7" s="28" t="n">
        <v>2040</v>
      </c>
      <c r="X7" s="28" t="n">
        <v>2041</v>
      </c>
      <c r="Y7" s="28" t="n">
        <v>2042</v>
      </c>
      <c r="Z7" s="28" t="n">
        <v>2043</v>
      </c>
      <c r="AA7" s="28" t="n">
        <v>2044</v>
      </c>
      <c r="AB7" s="28" t="n">
        <v>2045</v>
      </c>
      <c r="AC7" s="28" t="n">
        <v>2046</v>
      </c>
      <c r="AD7" s="28" t="n">
        <v>2047</v>
      </c>
      <c r="AE7" s="28" t="n">
        <v>2048</v>
      </c>
      <c r="AF7" s="28" t="n">
        <v>2049</v>
      </c>
      <c r="AG7" s="28" t="n">
        <v>2050</v>
      </c>
      <c r="AI7" s="28" t="s">
        <v>193</v>
      </c>
      <c r="AJ7" s="28" t="s">
        <v>194</v>
      </c>
      <c r="AK7" s="28" t="s">
        <v>195</v>
      </c>
      <c r="AL7" s="28" t="s">
        <v>196</v>
      </c>
      <c r="AM7" s="28" t="s">
        <v>197</v>
      </c>
    </row>
    <row r="8" customFormat="false" ht="15" hidden="false" customHeight="true" outlineLevel="0" collapsed="false">
      <c r="A8" s="1" t="s">
        <v>168</v>
      </c>
      <c r="B8" s="36" t="n">
        <f aca="false">'psgr-Road'!F27</f>
        <v>1</v>
      </c>
      <c r="C8" s="36" t="n">
        <f aca="false">'psgr-Road'!G27</f>
        <v>1.04544625266881</v>
      </c>
      <c r="D8" s="36" t="n">
        <f aca="false">'psgr-Road'!H27</f>
        <v>1.09029356294792</v>
      </c>
      <c r="E8" s="36" t="n">
        <f aca="false">'psgr-Road'!I27</f>
        <v>1.13484062508877</v>
      </c>
      <c r="F8" s="36" t="n">
        <f aca="false">'psgr-Road'!J27</f>
        <v>1.1791133240676</v>
      </c>
      <c r="G8" s="36" t="n">
        <f aca="false">'psgr-Road'!K27</f>
        <v>1.22317007084909</v>
      </c>
      <c r="H8" s="36" t="n">
        <f aca="false">'psgr-Road'!L27</f>
        <v>1.26573300072996</v>
      </c>
      <c r="I8" s="36" t="n">
        <f aca="false">'psgr-Road'!M27</f>
        <v>1.30569692132202</v>
      </c>
      <c r="J8" s="36" t="n">
        <f aca="false">'psgr-Road'!N27</f>
        <v>1.34324107343907</v>
      </c>
      <c r="K8" s="36" t="n">
        <f aca="false">'psgr-Road'!O27</f>
        <v>1.37848157543568</v>
      </c>
      <c r="L8" s="36" t="n">
        <f aca="false">'psgr-Road'!P27</f>
        <v>1.41149835662205</v>
      </c>
      <c r="M8" s="36" t="n">
        <f aca="false">'psgr-Road'!Q27</f>
        <v>1.44239537734693</v>
      </c>
      <c r="N8" s="36" t="n">
        <f aca="false">'psgr-Road'!R27</f>
        <v>1.47135875095577</v>
      </c>
      <c r="O8" s="36" t="n">
        <f aca="false">'psgr-Road'!S27</f>
        <v>1.49856315600521</v>
      </c>
      <c r="P8" s="36" t="n">
        <f aca="false">'psgr-Road'!T27</f>
        <v>1.52412154804385</v>
      </c>
      <c r="Q8" s="36" t="n">
        <f aca="false">'psgr-Road'!U27</f>
        <v>1.54814695215697</v>
      </c>
      <c r="R8" s="36" t="n">
        <f aca="false">'psgr-Road'!V27</f>
        <v>1.57022332043336</v>
      </c>
      <c r="S8" s="36" t="n">
        <f aca="false">'psgr-Road'!W27</f>
        <v>1.58998885252096</v>
      </c>
      <c r="T8" s="36" t="n">
        <f aca="false">'psgr-Road'!X27</f>
        <v>1.60764687636558</v>
      </c>
      <c r="U8" s="36" t="n">
        <f aca="false">'psgr-Road'!Y27</f>
        <v>1.62338897294165</v>
      </c>
      <c r="V8" s="36" t="n">
        <f aca="false">'psgr-Road'!Z27</f>
        <v>1.63738607086853</v>
      </c>
      <c r="W8" s="36" t="n">
        <f aca="false">'psgr-Road'!AA27</f>
        <v>1.64980440036511</v>
      </c>
      <c r="X8" s="36" t="n">
        <f aca="false">'psgr-Road'!AB27</f>
        <v>1.66080029859011</v>
      </c>
      <c r="Y8" s="36" t="n">
        <f aca="false">'psgr-Road'!AC27</f>
        <v>1.67050956957208</v>
      </c>
      <c r="Z8" s="36" t="n">
        <f aca="false">'psgr-Road'!AD27</f>
        <v>1.67907259391914</v>
      </c>
      <c r="AA8" s="36" t="n">
        <f aca="false">'psgr-Road'!AE27</f>
        <v>1.68657467974015</v>
      </c>
      <c r="AB8" s="36" t="n">
        <f aca="false">'psgr-Road'!AF27</f>
        <v>1.69313425876745</v>
      </c>
      <c r="AC8" s="36" t="n">
        <f aca="false">'psgr-Road'!AG27</f>
        <v>1.69886120303427</v>
      </c>
      <c r="AD8" s="36" t="n">
        <f aca="false">'psgr-Road'!AH27</f>
        <v>1.70385829122264</v>
      </c>
      <c r="AE8" s="36" t="n">
        <f aca="false">'psgr-Road'!AI27</f>
        <v>1.70822075616749</v>
      </c>
      <c r="AF8" s="36" t="n">
        <f aca="false">'psgr-Road'!AJ27</f>
        <v>1.71203032625769</v>
      </c>
      <c r="AG8" s="36" t="n">
        <f aca="false">'psgr-Road'!AK27</f>
        <v>1.72507698673831</v>
      </c>
      <c r="AI8" s="36" t="n">
        <f aca="false">'Evidence 2019-2025'!G47</f>
        <v>1.15</v>
      </c>
      <c r="AJ8" s="36" t="n">
        <f aca="false">'Evidence 2019-2025'!D47</f>
        <v>2024</v>
      </c>
      <c r="AK8" s="36" t="n">
        <f aca="false">'Evidence 2019-2025'!E47</f>
        <v>1.10028586536941</v>
      </c>
      <c r="AL8" s="32" t="n">
        <f aca="false">IF($C8=0,1,AI8/$C8)</f>
        <v>1.10000872552203</v>
      </c>
      <c r="AM8" s="32" t="n">
        <f aca="false">IF(INDEX($B8:$AG8,1,AJ8-2018)=0,1,AK8/INDEX($B8:$AG8,1,AJ8-2018))</f>
        <v>0.899536288200403</v>
      </c>
    </row>
    <row r="9" customFormat="false" ht="15" hidden="false" customHeight="true" outlineLevel="0" collapsed="false">
      <c r="A9" s="1" t="s">
        <v>171</v>
      </c>
      <c r="B9" s="36" t="n">
        <f aca="false">'psgr-Road'!F29</f>
        <v>1</v>
      </c>
      <c r="C9" s="36" t="n">
        <f aca="false">'psgr-Road'!G29</f>
        <v>1.03341543465531</v>
      </c>
      <c r="D9" s="36" t="n">
        <f aca="false">'psgr-Road'!H29</f>
        <v>1.06625152497382</v>
      </c>
      <c r="E9" s="36" t="n">
        <f aca="false">'psgr-Road'!I29</f>
        <v>1.09879558963022</v>
      </c>
      <c r="F9" s="36" t="n">
        <f aca="false">'psgr-Road'!J29</f>
        <v>1.13089095788137</v>
      </c>
      <c r="G9" s="36" t="n">
        <f aca="false">'psgr-Road'!K29</f>
        <v>1.16243963905913</v>
      </c>
      <c r="H9" s="36" t="n">
        <f aca="false">'psgr-Road'!L29</f>
        <v>1.19348216882974</v>
      </c>
      <c r="I9" s="36" t="n">
        <f aca="false">'psgr-Road'!M29</f>
        <v>1.22394259108997</v>
      </c>
      <c r="J9" s="36" t="n">
        <f aca="false">'psgr-Road'!N29</f>
        <v>1.25407529536375</v>
      </c>
      <c r="K9" s="36" t="n">
        <f aca="false">'psgr-Road'!O29</f>
        <v>1.28390012676225</v>
      </c>
      <c r="L9" s="36" t="n">
        <f aca="false">'psgr-Road'!P29</f>
        <v>1.31342719348884</v>
      </c>
      <c r="M9" s="36" t="n">
        <f aca="false">'psgr-Road'!Q29</f>
        <v>1.34268705912725</v>
      </c>
      <c r="N9" s="36" t="n">
        <f aca="false">'psgr-Road'!R29</f>
        <v>1.37181141473801</v>
      </c>
      <c r="O9" s="36" t="n">
        <f aca="false">'psgr-Road'!S29</f>
        <v>1.40088122119496</v>
      </c>
      <c r="P9" s="36" t="n">
        <f aca="false">'psgr-Road'!T29</f>
        <v>1.43005172132266</v>
      </c>
      <c r="Q9" s="36" t="n">
        <f aca="false">'psgr-Road'!U29</f>
        <v>1.45937410569536</v>
      </c>
      <c r="R9" s="36" t="n">
        <f aca="false">'psgr-Road'!V29</f>
        <v>1.48891525862964</v>
      </c>
      <c r="S9" s="36" t="n">
        <f aca="false">'psgr-Road'!W29</f>
        <v>1.51853128665846</v>
      </c>
      <c r="T9" s="36" t="n">
        <f aca="false">'psgr-Road'!X29</f>
        <v>1.54840573693868</v>
      </c>
      <c r="U9" s="36" t="n">
        <f aca="false">'psgr-Road'!Y29</f>
        <v>1.57856338907216</v>
      </c>
      <c r="V9" s="36" t="n">
        <f aca="false">'psgr-Road'!Z29</f>
        <v>1.60880667567901</v>
      </c>
      <c r="W9" s="36" t="n">
        <f aca="false">'psgr-Road'!AA29</f>
        <v>1.63897386834543</v>
      </c>
      <c r="X9" s="36" t="n">
        <f aca="false">'psgr-Road'!AB29</f>
        <v>1.66906072286532</v>
      </c>
      <c r="Y9" s="36" t="n">
        <f aca="false">'psgr-Road'!AC29</f>
        <v>1.69901299183836</v>
      </c>
      <c r="Z9" s="36" t="n">
        <f aca="false">'psgr-Road'!AD29</f>
        <v>1.72882775880214</v>
      </c>
      <c r="AA9" s="36" t="n">
        <f aca="false">'psgr-Road'!AE29</f>
        <v>1.75847562951987</v>
      </c>
      <c r="AB9" s="36" t="n">
        <f aca="false">'psgr-Road'!AF29</f>
        <v>1.78789260638768</v>
      </c>
      <c r="AC9" s="36" t="n">
        <f aca="false">'psgr-Road'!AG29</f>
        <v>1.81706992236789</v>
      </c>
      <c r="AD9" s="36" t="n">
        <f aca="false">'psgr-Road'!AH29</f>
        <v>1.84600445974687</v>
      </c>
      <c r="AE9" s="36" t="n">
        <f aca="false">'psgr-Road'!AI29</f>
        <v>1.8746716515612</v>
      </c>
      <c r="AF9" s="36" t="n">
        <f aca="false">'psgr-Road'!AJ29</f>
        <v>1.90304394048593</v>
      </c>
      <c r="AG9" s="36" t="n">
        <f aca="false">'psgr-Road'!AK29</f>
        <v>1.94143898474934</v>
      </c>
      <c r="AI9" s="36" t="n">
        <f aca="false">'Evidence 2019-2025'!G48</f>
        <v>1.15</v>
      </c>
      <c r="AJ9" s="36" t="n">
        <f aca="false">'Evidence 2019-2025'!D48</f>
        <v>2024</v>
      </c>
      <c r="AK9" s="36" t="n">
        <f aca="false">'Evidence 2019-2025'!E48</f>
        <v>0.805</v>
      </c>
      <c r="AL9" s="32" t="n">
        <f aca="false">IF($C9=0,1,AI9/$C9)</f>
        <v>1.11281480945131</v>
      </c>
      <c r="AM9" s="32" t="n">
        <f aca="false">IF(INDEX($B9:$AG9,1,AJ9-2018)=0,1,AK9/INDEX($B9:$AG9,1,AJ9-2018))</f>
        <v>0.692509075698382</v>
      </c>
    </row>
    <row r="10" customFormat="false" ht="15" hidden="false" customHeight="true" outlineLevel="0" collapsed="false">
      <c r="A10" s="1" t="s">
        <v>21</v>
      </c>
      <c r="B10" s="36" t="n">
        <f aca="false">'psgr-Air'!H11</f>
        <v>1</v>
      </c>
      <c r="C10" s="36" t="n">
        <f aca="false">'psgr-Air'!I11</f>
        <v>1.05519029971233</v>
      </c>
      <c r="D10" s="36" t="n">
        <f aca="false">'psgr-Air'!J11</f>
        <v>1.11320498755023</v>
      </c>
      <c r="E10" s="36" t="n">
        <f aca="false">'psgr-Air'!K11</f>
        <v>1.17440934080283</v>
      </c>
      <c r="F10" s="36" t="n">
        <f aca="false">'psgr-Air'!L11</f>
        <v>1.23897872825754</v>
      </c>
      <c r="G10" s="36" t="n">
        <f aca="false">'psgr-Air'!M11</f>
        <v>1.30709816053174</v>
      </c>
      <c r="H10" s="36" t="n">
        <f aca="false">'psgr-Air'!N11</f>
        <v>1.37896282018357</v>
      </c>
      <c r="I10" s="36" t="n">
        <f aca="false">'psgr-Air'!O11</f>
        <v>1.45016858383141</v>
      </c>
      <c r="J10" s="36" t="n">
        <f aca="false">'psgr-Air'!P11</f>
        <v>1.52505121294832</v>
      </c>
      <c r="K10" s="36" t="n">
        <f aca="false">'psgr-Air'!Q11</f>
        <v>1.60380057053115</v>
      </c>
      <c r="L10" s="36" t="n">
        <f aca="false">'psgr-Air'!R11</f>
        <v>1.68661632356814</v>
      </c>
      <c r="M10" s="36" t="n">
        <f aca="false">'psgr-Air'!S11</f>
        <v>1.77370844928956</v>
      </c>
      <c r="N10" s="36" t="n">
        <f aca="false">'psgr-Air'!T11</f>
        <v>1.83714786912022</v>
      </c>
      <c r="O10" s="36" t="n">
        <f aca="false">'psgr-Air'!U11</f>
        <v>1.90285629769923</v>
      </c>
      <c r="P10" s="36" t="n">
        <f aca="false">'psgr-Air'!V11</f>
        <v>1.97091488962594</v>
      </c>
      <c r="Q10" s="36" t="n">
        <f aca="false">'psgr-Air'!W11</f>
        <v>2.0414077021192</v>
      </c>
      <c r="R10" s="36" t="n">
        <f aca="false">'psgr-Air'!X11</f>
        <v>2.114421798834</v>
      </c>
      <c r="S10" s="36" t="n">
        <f aca="false">'psgr-Air'!Y11</f>
        <v>2.18356871695619</v>
      </c>
      <c r="T10" s="36" t="n">
        <f aca="false">'psgr-Air'!Z11</f>
        <v>2.25497691345171</v>
      </c>
      <c r="U10" s="36" t="n">
        <f aca="false">'psgr-Air'!AA11</f>
        <v>2.32872033781853</v>
      </c>
      <c r="V10" s="36" t="n">
        <f aca="false">'psgr-Air'!AB11</f>
        <v>2.40487535788945</v>
      </c>
      <c r="W10" s="36" t="n">
        <f aca="false">'psgr-Air'!AC11</f>
        <v>2.48352083891777</v>
      </c>
      <c r="X10" s="36" t="n">
        <f aca="false">'psgr-Air'!AD11</f>
        <v>2.55754767103945</v>
      </c>
      <c r="Y10" s="36" t="n">
        <f aca="false">'psgr-Air'!AE11</f>
        <v>2.63378103663897</v>
      </c>
      <c r="Z10" s="36" t="n">
        <f aca="false">'psgr-Air'!AF11</f>
        <v>2.71228670632746</v>
      </c>
      <c r="AA10" s="36" t="n">
        <f aca="false">'psgr-Air'!AG11</f>
        <v>2.79313241115459</v>
      </c>
      <c r="AB10" s="36" t="n">
        <f aca="false">'psgr-Air'!AH11</f>
        <v>2.87638790104381</v>
      </c>
      <c r="AC10" s="36" t="n">
        <f aca="false">'psgr-Air'!AI11</f>
        <v>2.95441829303124</v>
      </c>
      <c r="AD10" s="36" t="n">
        <f aca="false">'psgr-Air'!AJ11</f>
        <v>3.0345654864666</v>
      </c>
      <c r="AE10" s="36" t="n">
        <f aca="false">'psgr-Air'!AK11</f>
        <v>3.11688690574896</v>
      </c>
      <c r="AF10" s="36" t="n">
        <f aca="false">'psgr-Air'!AL11</f>
        <v>3.20144153308133</v>
      </c>
      <c r="AG10" s="36" t="n">
        <f aca="false">'psgr-Air'!AM11</f>
        <v>3.2882899507306</v>
      </c>
      <c r="AI10" s="36" t="n">
        <f aca="false">'Evidence 2019-2025'!G49</f>
        <v>1.15</v>
      </c>
      <c r="AJ10" s="36" t="n">
        <f aca="false">'Evidence 2019-2025'!D49</f>
        <v>2025</v>
      </c>
      <c r="AK10" s="36" t="n">
        <f aca="false">'Evidence 2019-2025'!E49</f>
        <v>1.053</v>
      </c>
      <c r="AL10" s="32" t="n">
        <f aca="false">IF($C10=0,1,AI10/$C10)</f>
        <v>1.08985080730321</v>
      </c>
      <c r="AM10" s="32" t="n">
        <f aca="false">IF(INDEX($B10:$AG10,1,AJ10-2018)=0,1,AK10/INDEX($B10:$AG10,1,AJ10-2018))</f>
        <v>0.76361739750157</v>
      </c>
    </row>
    <row r="11" customFormat="false" ht="15" hidden="false" customHeight="true" outlineLevel="0" collapsed="false">
      <c r="A11" s="1" t="s">
        <v>174</v>
      </c>
      <c r="B11" s="36" t="n">
        <f aca="false">'psgr-Rail'!H10</f>
        <v>1</v>
      </c>
      <c r="C11" s="36" t="n">
        <f aca="false">'psgr-Rail'!I10</f>
        <v>1.00961538461539</v>
      </c>
      <c r="D11" s="36" t="n">
        <f aca="false">'psgr-Rail'!J10</f>
        <v>1.07692307692308</v>
      </c>
      <c r="E11" s="36" t="n">
        <f aca="false">'psgr-Rail'!K10</f>
        <v>1.14423076923077</v>
      </c>
      <c r="F11" s="36" t="n">
        <f aca="false">'psgr-Rail'!L10</f>
        <v>1.21153846153846</v>
      </c>
      <c r="G11" s="36" t="n">
        <f aca="false">'psgr-Rail'!M10</f>
        <v>1.27884615384615</v>
      </c>
      <c r="H11" s="36" t="n">
        <f aca="false">'psgr-Rail'!N10</f>
        <v>1.34615384615385</v>
      </c>
      <c r="I11" s="36" t="n">
        <f aca="false">'psgr-Rail'!O10</f>
        <v>1.41346153846154</v>
      </c>
      <c r="J11" s="36" t="n">
        <f aca="false">'psgr-Rail'!P10</f>
        <v>1.48076923076923</v>
      </c>
      <c r="K11" s="36" t="n">
        <f aca="false">'psgr-Rail'!Q10</f>
        <v>1.54807692307692</v>
      </c>
      <c r="L11" s="36" t="n">
        <f aca="false">'psgr-Rail'!R10</f>
        <v>1.61538461538462</v>
      </c>
      <c r="M11" s="36" t="n">
        <f aca="false">'psgr-Rail'!S10</f>
        <v>1.68269230769231</v>
      </c>
      <c r="N11" s="36" t="n">
        <f aca="false">'psgr-Rail'!T10</f>
        <v>1.76682692307692</v>
      </c>
      <c r="O11" s="36" t="n">
        <f aca="false">'psgr-Rail'!U10</f>
        <v>1.85096153846154</v>
      </c>
      <c r="P11" s="36" t="n">
        <f aca="false">'psgr-Rail'!V10</f>
        <v>1.93509615384615</v>
      </c>
      <c r="Q11" s="36" t="n">
        <f aca="false">'psgr-Rail'!W10</f>
        <v>2.01923076923077</v>
      </c>
      <c r="R11" s="36" t="n">
        <f aca="false">'psgr-Rail'!X10</f>
        <v>2.10336538461539</v>
      </c>
      <c r="S11" s="36" t="n">
        <f aca="false">'psgr-Rail'!Y10</f>
        <v>2.1875</v>
      </c>
      <c r="T11" s="36" t="n">
        <f aca="false">'psgr-Rail'!Z10</f>
        <v>2.27163461538462</v>
      </c>
      <c r="U11" s="36" t="n">
        <f aca="false">'psgr-Rail'!AA10</f>
        <v>2.35576923076923</v>
      </c>
      <c r="V11" s="36" t="n">
        <f aca="false">'psgr-Rail'!AB10</f>
        <v>2.43990384615385</v>
      </c>
      <c r="W11" s="36" t="n">
        <f aca="false">'psgr-Rail'!AC10</f>
        <v>2.52403846153846</v>
      </c>
      <c r="X11" s="36" t="n">
        <f aca="false">'psgr-Rail'!AD10</f>
        <v>2.57451923076923</v>
      </c>
      <c r="Y11" s="36" t="n">
        <f aca="false">'psgr-Rail'!AE10</f>
        <v>2.625</v>
      </c>
      <c r="Z11" s="36" t="n">
        <f aca="false">'psgr-Rail'!AF10</f>
        <v>2.67548076923077</v>
      </c>
      <c r="AA11" s="36" t="n">
        <f aca="false">'psgr-Rail'!AG10</f>
        <v>2.72596153846154</v>
      </c>
      <c r="AB11" s="36" t="n">
        <f aca="false">'psgr-Rail'!AH10</f>
        <v>2.77644230769231</v>
      </c>
      <c r="AC11" s="36" t="n">
        <f aca="false">'psgr-Rail'!AI10</f>
        <v>2.82692307692308</v>
      </c>
      <c r="AD11" s="36" t="n">
        <f aca="false">'psgr-Rail'!AJ10</f>
        <v>2.87740384615385</v>
      </c>
      <c r="AE11" s="36" t="n">
        <f aca="false">'psgr-Rail'!AK10</f>
        <v>2.92788461538462</v>
      </c>
      <c r="AF11" s="36" t="n">
        <f aca="false">'psgr-Rail'!AL10</f>
        <v>2.97836538461539</v>
      </c>
      <c r="AG11" s="36" t="n">
        <f aca="false">'psgr-Rail'!AM10</f>
        <v>3.02884615384616</v>
      </c>
      <c r="AI11" s="36" t="n">
        <f aca="false">'Evidence 2019-2025'!G50</f>
        <v>1.15</v>
      </c>
      <c r="AJ11" s="36" t="n">
        <f aca="false">'Evidence 2019-2025'!D50</f>
        <v>2024</v>
      </c>
      <c r="AK11" s="36" t="n">
        <f aca="false">'Evidence 2019-2025'!E50</f>
        <v>0.778787878787879</v>
      </c>
      <c r="AL11" s="32" t="n">
        <f aca="false">IF($C11=0,1,AI11/$C11)</f>
        <v>1.13904761904762</v>
      </c>
      <c r="AM11" s="32" t="n">
        <f aca="false">IF(INDEX($B11:$AG11,1,AJ11-2018)=0,1,AK11/INDEX($B11:$AG11,1,AJ11-2018))</f>
        <v>0.608976987924356</v>
      </c>
    </row>
    <row r="12" customFormat="false" ht="15" hidden="false" customHeight="true" outlineLevel="0" collapsed="false">
      <c r="A12" s="1" t="s">
        <v>20</v>
      </c>
      <c r="B12" s="36" t="n">
        <f aca="false">'psgr-Ship'!H10</f>
        <v>1</v>
      </c>
      <c r="C12" s="36" t="n">
        <f aca="false">'psgr-Ship'!I10</f>
        <v>1.01182654402102</v>
      </c>
      <c r="D12" s="36" t="n">
        <f aca="false">'psgr-Ship'!J10</f>
        <v>1.02087972888858</v>
      </c>
      <c r="E12" s="36" t="n">
        <f aca="false">'psgr-Ship'!K10</f>
        <v>1.02993291375614</v>
      </c>
      <c r="F12" s="36" t="n">
        <f aca="false">'psgr-Ship'!L10</f>
        <v>1.03898609862369</v>
      </c>
      <c r="G12" s="36" t="n">
        <f aca="false">'psgr-Ship'!M10</f>
        <v>1.04803928349125</v>
      </c>
      <c r="H12" s="36" t="n">
        <f aca="false">'psgr-Ship'!N10</f>
        <v>1.05709246835881</v>
      </c>
      <c r="I12" s="36" t="n">
        <f aca="false">'psgr-Ship'!O10</f>
        <v>1.06614565322636</v>
      </c>
      <c r="J12" s="36" t="n">
        <f aca="false">'psgr-Ship'!P10</f>
        <v>1.07519883809392</v>
      </c>
      <c r="K12" s="36" t="n">
        <f aca="false">'psgr-Ship'!Q10</f>
        <v>1.08425202296148</v>
      </c>
      <c r="L12" s="36" t="n">
        <f aca="false">'psgr-Ship'!R10</f>
        <v>1.09330520782903</v>
      </c>
      <c r="M12" s="36" t="n">
        <f aca="false">'psgr-Ship'!S10</f>
        <v>1.10235839269659</v>
      </c>
      <c r="N12" s="36" t="n">
        <f aca="false">'psgr-Ship'!T10</f>
        <v>1.10482744311501</v>
      </c>
      <c r="O12" s="36" t="n">
        <f aca="false">'psgr-Ship'!U10</f>
        <v>1.10729649353344</v>
      </c>
      <c r="P12" s="36" t="n">
        <f aca="false">'psgr-Ship'!V10</f>
        <v>1.10976554395186</v>
      </c>
      <c r="Q12" s="36" t="n">
        <f aca="false">'psgr-Ship'!W10</f>
        <v>1.11223459437029</v>
      </c>
      <c r="R12" s="36" t="n">
        <f aca="false">'psgr-Ship'!X10</f>
        <v>1.11470364478871</v>
      </c>
      <c r="S12" s="36" t="n">
        <f aca="false">'psgr-Ship'!Y10</f>
        <v>1.11717269520714</v>
      </c>
      <c r="T12" s="36" t="n">
        <f aca="false">'psgr-Ship'!Z10</f>
        <v>1.11964174562556</v>
      </c>
      <c r="U12" s="36" t="n">
        <f aca="false">'psgr-Ship'!AA10</f>
        <v>1.12211079604399</v>
      </c>
      <c r="V12" s="36" t="n">
        <f aca="false">'psgr-Ship'!AB10</f>
        <v>1.12457984646241</v>
      </c>
      <c r="W12" s="36" t="n">
        <f aca="false">'psgr-Ship'!AC10</f>
        <v>1.12704889688083</v>
      </c>
      <c r="X12" s="36" t="n">
        <f aca="false">'psgr-Ship'!AD10</f>
        <v>1.12617746732139</v>
      </c>
      <c r="Y12" s="36" t="n">
        <f aca="false">'psgr-Ship'!AE10</f>
        <v>1.12530603776195</v>
      </c>
      <c r="Z12" s="36" t="n">
        <f aca="false">'psgr-Ship'!AF10</f>
        <v>1.1244346082025</v>
      </c>
      <c r="AA12" s="36" t="n">
        <f aca="false">'psgr-Ship'!AG10</f>
        <v>1.12356317864306</v>
      </c>
      <c r="AB12" s="36" t="n">
        <f aca="false">'psgr-Ship'!AH10</f>
        <v>1.12269174908362</v>
      </c>
      <c r="AC12" s="36" t="n">
        <f aca="false">'psgr-Ship'!AI10</f>
        <v>1.12182031952417</v>
      </c>
      <c r="AD12" s="36" t="n">
        <f aca="false">'psgr-Ship'!AJ10</f>
        <v>1.12094888996473</v>
      </c>
      <c r="AE12" s="36" t="n">
        <f aca="false">'psgr-Ship'!AK10</f>
        <v>1.12007746040528</v>
      </c>
      <c r="AF12" s="36" t="n">
        <f aca="false">'psgr-Ship'!AL10</f>
        <v>1.11920603084584</v>
      </c>
      <c r="AG12" s="36" t="n">
        <f aca="false">'psgr-Ship'!AM10</f>
        <v>1.1183346012864</v>
      </c>
      <c r="AI12" s="36" t="n">
        <f aca="false">'Evidence 2019-2025'!G51</f>
        <v>1.15</v>
      </c>
      <c r="AJ12" s="36" t="n">
        <f aca="false">'Evidence 2019-2025'!D51</f>
        <v>2024</v>
      </c>
      <c r="AK12" s="36" t="n">
        <f aca="false">'Evidence 2019-2025'!E51</f>
        <v>0.778787878787879</v>
      </c>
      <c r="AL12" s="32" t="n">
        <f aca="false">IF($C12=0,1,AI12/$C12)</f>
        <v>1.13655844155844</v>
      </c>
      <c r="AM12" s="32" t="n">
        <f aca="false">IF(INDEX($B12:$AG12,1,AJ12-2018)=0,1,AK12/INDEX($B12:$AG12,1,AJ12-2018))</f>
        <v>0.743090350767735</v>
      </c>
    </row>
    <row r="13" customFormat="false" ht="15" hidden="false" customHeight="true" outlineLevel="0" collapsed="false">
      <c r="A13" s="1" t="s">
        <v>177</v>
      </c>
      <c r="B13" s="36" t="n">
        <f aca="false">'psgr-Road'!F31</f>
        <v>1</v>
      </c>
      <c r="C13" s="36" t="n">
        <f aca="false">'psgr-Road'!G31</f>
        <v>1.04903515533619</v>
      </c>
      <c r="D13" s="36" t="n">
        <f aca="false">'psgr-Road'!H31</f>
        <v>1.10238548540347</v>
      </c>
      <c r="E13" s="36" t="n">
        <f aca="false">'psgr-Road'!I31</f>
        <v>1.16048930368242</v>
      </c>
      <c r="F13" s="36" t="n">
        <f aca="false">'psgr-Road'!J31</f>
        <v>1.2235049763188</v>
      </c>
      <c r="G13" s="36" t="n">
        <f aca="false">'psgr-Road'!K31</f>
        <v>1.29129256063878</v>
      </c>
      <c r="H13" s="36" t="n">
        <f aca="false">'psgr-Road'!L31</f>
        <v>1.35879128475468</v>
      </c>
      <c r="I13" s="36" t="n">
        <f aca="false">'psgr-Road'!M31</f>
        <v>1.42177270505294</v>
      </c>
      <c r="J13" s="36" t="n">
        <f aca="false">'psgr-Road'!N31</f>
        <v>1.48061892814932</v>
      </c>
      <c r="K13" s="36" t="n">
        <f aca="false">'psgr-Road'!O31</f>
        <v>1.53559318034</v>
      </c>
      <c r="L13" s="36" t="n">
        <f aca="false">'psgr-Road'!P31</f>
        <v>1.58694099279844</v>
      </c>
      <c r="M13" s="36" t="n">
        <f aca="false">'psgr-Road'!Q31</f>
        <v>1.63489170255041</v>
      </c>
      <c r="N13" s="36" t="n">
        <f aca="false">'psgr-Road'!R31</f>
        <v>1.67979553045508</v>
      </c>
      <c r="O13" s="36" t="n">
        <f aca="false">'psgr-Road'!S31</f>
        <v>1.72196435609423</v>
      </c>
      <c r="P13" s="36" t="n">
        <f aca="false">'psgr-Road'!T31</f>
        <v>1.76165162950208</v>
      </c>
      <c r="Q13" s="36" t="n">
        <f aca="false">'psgr-Road'!U31</f>
        <v>1.79914565299818</v>
      </c>
      <c r="R13" s="36" t="n">
        <f aca="false">'psgr-Road'!V31</f>
        <v>1.83337184802721</v>
      </c>
      <c r="S13" s="36" t="n">
        <f aca="false">'psgr-Road'!W31</f>
        <v>1.86373381833274</v>
      </c>
      <c r="T13" s="36" t="n">
        <f aca="false">'psgr-Road'!X31</f>
        <v>1.89071040593426</v>
      </c>
      <c r="U13" s="36" t="n">
        <f aca="false">'psgr-Road'!Y31</f>
        <v>1.91456291552572</v>
      </c>
      <c r="V13" s="36" t="n">
        <f aca="false">'psgr-Road'!Z31</f>
        <v>1.93564698520205</v>
      </c>
      <c r="W13" s="36" t="n">
        <f aca="false">'psgr-Road'!AA31</f>
        <v>1.9542786166917</v>
      </c>
      <c r="X13" s="36" t="n">
        <f aca="false">'psgr-Road'!AB31</f>
        <v>1.97075513144722</v>
      </c>
      <c r="Y13" s="36" t="n">
        <f aca="false">'psgr-Road'!AC31</f>
        <v>1.98534890994126</v>
      </c>
      <c r="Z13" s="36" t="n">
        <f aca="false">'psgr-Road'!AD31</f>
        <v>1.99829993770954</v>
      </c>
      <c r="AA13" s="36" t="n">
        <f aca="false">'psgr-Road'!AE31</f>
        <v>2.00983289609873</v>
      </c>
      <c r="AB13" s="36" t="n">
        <f aca="false">'psgr-Road'!AF31</f>
        <v>2.02014372876151</v>
      </c>
      <c r="AC13" s="36" t="n">
        <f aca="false">'psgr-Road'!AG31</f>
        <v>2.02942081470222</v>
      </c>
      <c r="AD13" s="36" t="n">
        <f aca="false">'psgr-Road'!AH31</f>
        <v>2.03783257969851</v>
      </c>
      <c r="AE13" s="36" t="n">
        <f aca="false">'psgr-Road'!AI31</f>
        <v>2.04552236022165</v>
      </c>
      <c r="AF13" s="36" t="n">
        <f aca="false">'psgr-Road'!AJ31</f>
        <v>2.05261503163593</v>
      </c>
      <c r="AG13" s="36" t="n">
        <f aca="false">'psgr-Road'!AK31</f>
        <v>2.05921626656643</v>
      </c>
      <c r="AI13" s="36" t="n">
        <f aca="false">'Evidence 2019-2025'!G52</f>
        <v>1.15</v>
      </c>
      <c r="AJ13" s="36" t="n">
        <f aca="false">'Evidence 2019-2025'!D52</f>
        <v>2024</v>
      </c>
      <c r="AK13" s="36" t="n">
        <f aca="false">'Evidence 2019-2025'!E52</f>
        <v>1.10028586536941</v>
      </c>
      <c r="AL13" s="32" t="n">
        <f aca="false">IF($C13=0,1,AI13/$C13)</f>
        <v>1.09624543481715</v>
      </c>
      <c r="AM13" s="32" t="n">
        <f aca="false">IF(INDEX($B13:$AG13,1,AJ13-2018)=0,1,AK13/INDEX($B13:$AG13,1,AJ13-2018))</f>
        <v>0.85208100697577</v>
      </c>
    </row>
    <row r="15" customFormat="false" ht="15" hidden="false" customHeight="true" outlineLevel="0" collapsed="false">
      <c r="A15" s="28" t="s">
        <v>198</v>
      </c>
    </row>
    <row r="16" customFormat="false" ht="15" hidden="false" customHeight="true" outlineLevel="0" collapsed="false">
      <c r="B16" s="28" t="n">
        <v>2019</v>
      </c>
      <c r="C16" s="28" t="n">
        <v>2020</v>
      </c>
      <c r="D16" s="28" t="n">
        <v>2021</v>
      </c>
      <c r="E16" s="28" t="n">
        <v>2022</v>
      </c>
      <c r="F16" s="28" t="n">
        <v>2023</v>
      </c>
      <c r="G16" s="28" t="n">
        <v>2024</v>
      </c>
      <c r="H16" s="28" t="n">
        <v>2025</v>
      </c>
      <c r="I16" s="28" t="n">
        <v>2026</v>
      </c>
      <c r="J16" s="28" t="n">
        <v>2027</v>
      </c>
      <c r="K16" s="28" t="n">
        <v>2028</v>
      </c>
      <c r="L16" s="28" t="n">
        <v>2029</v>
      </c>
      <c r="M16" s="28" t="n">
        <v>2030</v>
      </c>
      <c r="N16" s="28" t="n">
        <v>2031</v>
      </c>
      <c r="O16" s="28" t="n">
        <v>2032</v>
      </c>
      <c r="P16" s="28" t="n">
        <v>2033</v>
      </c>
      <c r="Q16" s="28" t="n">
        <v>2034</v>
      </c>
      <c r="R16" s="28" t="n">
        <v>2035</v>
      </c>
      <c r="S16" s="28" t="n">
        <v>2036</v>
      </c>
      <c r="T16" s="28" t="n">
        <v>2037</v>
      </c>
      <c r="U16" s="28" t="n">
        <v>2038</v>
      </c>
      <c r="V16" s="28" t="n">
        <v>2039</v>
      </c>
      <c r="W16" s="28" t="n">
        <v>2040</v>
      </c>
      <c r="X16" s="28" t="n">
        <v>2041</v>
      </c>
      <c r="Y16" s="28" t="n">
        <v>2042</v>
      </c>
      <c r="Z16" s="28" t="n">
        <v>2043</v>
      </c>
      <c r="AA16" s="28" t="n">
        <v>2044</v>
      </c>
      <c r="AB16" s="28" t="n">
        <v>2045</v>
      </c>
      <c r="AC16" s="28" t="n">
        <v>2046</v>
      </c>
      <c r="AD16" s="28" t="n">
        <v>2047</v>
      </c>
      <c r="AE16" s="28" t="n">
        <v>2048</v>
      </c>
      <c r="AF16" s="28" t="n">
        <v>2049</v>
      </c>
      <c r="AG16" s="28" t="n">
        <v>2050</v>
      </c>
    </row>
    <row r="17" customFormat="false" ht="15" hidden="false" customHeight="true" outlineLevel="0" collapsed="false">
      <c r="A17" s="1" t="s">
        <v>168</v>
      </c>
      <c r="B17" s="32" t="n">
        <v>1</v>
      </c>
      <c r="C17" s="32" t="n">
        <f aca="false">IF(C$16&gt;=$AJ$8,$AM$8,$AL$8+($AM$8-$AL$8)*(C$16-2020)/($AJ$8-2020))</f>
        <v>1.10000872552203</v>
      </c>
      <c r="D17" s="32" t="n">
        <f aca="false">IF(D$16&gt;=$AJ$8,$AM$8,$AL$8+($AM$8-$AL$8)*(D$16-2020)/($AJ$8-2020))</f>
        <v>1.04989061619162</v>
      </c>
      <c r="E17" s="32" t="n">
        <f aca="false">IF(E$16&gt;=$AJ$8,$AM$8,$AL$8+($AM$8-$AL$8)*(E$16-2020)/($AJ$8-2020))</f>
        <v>0.999772506861214</v>
      </c>
      <c r="F17" s="32" t="n">
        <f aca="false">IF(F$16&gt;=$AJ$8,$AM$8,$AL$8+($AM$8-$AL$8)*(F$16-2020)/($AJ$8-2020))</f>
        <v>0.949654397530809</v>
      </c>
      <c r="G17" s="32" t="n">
        <f aca="false">IF(G$16&gt;=$AJ$8,$AM$8,$AL$8+($AM$8-$AL$8)*(G$16-2020)/($AJ$8-2020))</f>
        <v>0.899536288200403</v>
      </c>
      <c r="H17" s="32" t="n">
        <f aca="false">IF(H$16&gt;=$AJ$8,$AM$8,$AL$8+($AM$8-$AL$8)*(H$16-2020)/($AJ$8-2020))</f>
        <v>0.899536288200403</v>
      </c>
      <c r="I17" s="32" t="n">
        <f aca="false">IF(I$16&gt;=$AJ$8,$AM$8,$AL$8+($AM$8-$AL$8)*(I$16-2020)/($AJ$8-2020))</f>
        <v>0.899536288200403</v>
      </c>
      <c r="J17" s="32" t="n">
        <f aca="false">IF(J$16&gt;=$AJ$8,$AM$8,$AL$8+($AM$8-$AL$8)*(J$16-2020)/($AJ$8-2020))</f>
        <v>0.899536288200403</v>
      </c>
      <c r="K17" s="32" t="n">
        <f aca="false">IF(K$16&gt;=$AJ$8,$AM$8,$AL$8+($AM$8-$AL$8)*(K$16-2020)/($AJ$8-2020))</f>
        <v>0.899536288200403</v>
      </c>
      <c r="L17" s="32" t="n">
        <f aca="false">IF(L$16&gt;=$AJ$8,$AM$8,$AL$8+($AM$8-$AL$8)*(L$16-2020)/($AJ$8-2020))</f>
        <v>0.899536288200403</v>
      </c>
      <c r="M17" s="32" t="n">
        <f aca="false">IF(M$16&gt;=$AJ$8,$AM$8,$AL$8+($AM$8-$AL$8)*(M$16-2020)/($AJ$8-2020))</f>
        <v>0.899536288200403</v>
      </c>
      <c r="N17" s="32" t="n">
        <f aca="false">IF(N$16&gt;=$AJ$8,$AM$8,$AL$8+($AM$8-$AL$8)*(N$16-2020)/($AJ$8-2020))</f>
        <v>0.899536288200403</v>
      </c>
      <c r="O17" s="32" t="n">
        <f aca="false">IF(O$16&gt;=$AJ$8,$AM$8,$AL$8+($AM$8-$AL$8)*(O$16-2020)/($AJ$8-2020))</f>
        <v>0.899536288200403</v>
      </c>
      <c r="P17" s="32" t="n">
        <f aca="false">IF(P$16&gt;=$AJ$8,$AM$8,$AL$8+($AM$8-$AL$8)*(P$16-2020)/($AJ$8-2020))</f>
        <v>0.899536288200403</v>
      </c>
      <c r="Q17" s="32" t="n">
        <f aca="false">IF(Q$16&gt;=$AJ$8,$AM$8,$AL$8+($AM$8-$AL$8)*(Q$16-2020)/($AJ$8-2020))</f>
        <v>0.899536288200403</v>
      </c>
      <c r="R17" s="32" t="n">
        <f aca="false">IF(R$16&gt;=$AJ$8,$AM$8,$AL$8+($AM$8-$AL$8)*(R$16-2020)/($AJ$8-2020))</f>
        <v>0.899536288200403</v>
      </c>
      <c r="S17" s="32" t="n">
        <f aca="false">IF(S$16&gt;=$AJ$8,$AM$8,$AL$8+($AM$8-$AL$8)*(S$16-2020)/($AJ$8-2020))</f>
        <v>0.899536288200403</v>
      </c>
      <c r="T17" s="32" t="n">
        <f aca="false">IF(T$16&gt;=$AJ$8,$AM$8,$AL$8+($AM$8-$AL$8)*(T$16-2020)/($AJ$8-2020))</f>
        <v>0.899536288200403</v>
      </c>
      <c r="U17" s="32" t="n">
        <f aca="false">IF(U$16&gt;=$AJ$8,$AM$8,$AL$8+($AM$8-$AL$8)*(U$16-2020)/($AJ$8-2020))</f>
        <v>0.899536288200403</v>
      </c>
      <c r="V17" s="32" t="n">
        <f aca="false">IF(V$16&gt;=$AJ$8,$AM$8,$AL$8+($AM$8-$AL$8)*(V$16-2020)/($AJ$8-2020))</f>
        <v>0.899536288200403</v>
      </c>
      <c r="W17" s="32" t="n">
        <f aca="false">IF(W$16&gt;=$AJ$8,$AM$8,$AL$8+($AM$8-$AL$8)*(W$16-2020)/($AJ$8-2020))</f>
        <v>0.899536288200403</v>
      </c>
      <c r="X17" s="32" t="n">
        <f aca="false">IF(X$16&gt;=$AJ$8,$AM$8,$AL$8+($AM$8-$AL$8)*(X$16-2020)/($AJ$8-2020))</f>
        <v>0.899536288200403</v>
      </c>
      <c r="Y17" s="32" t="n">
        <f aca="false">IF(Y$16&gt;=$AJ$8,$AM$8,$AL$8+($AM$8-$AL$8)*(Y$16-2020)/($AJ$8-2020))</f>
        <v>0.899536288200403</v>
      </c>
      <c r="Z17" s="32" t="n">
        <f aca="false">IF(Z$16&gt;=$AJ$8,$AM$8,$AL$8+($AM$8-$AL$8)*(Z$16-2020)/($AJ$8-2020))</f>
        <v>0.899536288200403</v>
      </c>
      <c r="AA17" s="32" t="n">
        <f aca="false">IF(AA$16&gt;=$AJ$8,$AM$8,$AL$8+($AM$8-$AL$8)*(AA$16-2020)/($AJ$8-2020))</f>
        <v>0.899536288200403</v>
      </c>
      <c r="AB17" s="32" t="n">
        <f aca="false">IF(AB$16&gt;=$AJ$8,$AM$8,$AL$8+($AM$8-$AL$8)*(AB$16-2020)/($AJ$8-2020))</f>
        <v>0.899536288200403</v>
      </c>
      <c r="AC17" s="32" t="n">
        <f aca="false">IF(AC$16&gt;=$AJ$8,$AM$8,$AL$8+($AM$8-$AL$8)*(AC$16-2020)/($AJ$8-2020))</f>
        <v>0.899536288200403</v>
      </c>
      <c r="AD17" s="32" t="n">
        <f aca="false">IF(AD$16&gt;=$AJ$8,$AM$8,$AL$8+($AM$8-$AL$8)*(AD$16-2020)/($AJ$8-2020))</f>
        <v>0.899536288200403</v>
      </c>
      <c r="AE17" s="32" t="n">
        <f aca="false">IF(AE$16&gt;=$AJ$8,$AM$8,$AL$8+($AM$8-$AL$8)*(AE$16-2020)/($AJ$8-2020))</f>
        <v>0.899536288200403</v>
      </c>
      <c r="AF17" s="32" t="n">
        <f aca="false">IF(AF$16&gt;=$AJ$8,$AM$8,$AL$8+($AM$8-$AL$8)*(AF$16-2020)/($AJ$8-2020))</f>
        <v>0.899536288200403</v>
      </c>
      <c r="AG17" s="32" t="n">
        <f aca="false">IF(AG$16&gt;=$AJ$8,$AM$8,$AL$8+($AM$8-$AL$8)*(AG$16-2020)/($AJ$8-2020))</f>
        <v>0.899536288200403</v>
      </c>
    </row>
    <row r="18" customFormat="false" ht="15" hidden="false" customHeight="true" outlineLevel="0" collapsed="false">
      <c r="A18" s="1" t="s">
        <v>171</v>
      </c>
      <c r="B18" s="32" t="n">
        <v>1</v>
      </c>
      <c r="C18" s="32" t="n">
        <f aca="false">IF(C$16&gt;=$AJ$9,$AM$9,$AL$9+($AM$9-$AL$9)*(C$16-2020)/($AJ$9-2020))</f>
        <v>1.11281480945131</v>
      </c>
      <c r="D18" s="32" t="n">
        <f aca="false">IF(D$16&gt;=$AJ$9,$AM$9,$AL$9+($AM$9-$AL$9)*(D$16-2020)/($AJ$9-2020))</f>
        <v>1.00773837601308</v>
      </c>
      <c r="E18" s="32" t="n">
        <f aca="false">IF(E$16&gt;=$AJ$9,$AM$9,$AL$9+($AM$9-$AL$9)*(E$16-2020)/($AJ$9-2020))</f>
        <v>0.902661942574848</v>
      </c>
      <c r="F18" s="32" t="n">
        <f aca="false">IF(F$16&gt;=$AJ$9,$AM$9,$AL$9+($AM$9-$AL$9)*(F$16-2020)/($AJ$9-2020))</f>
        <v>0.797585509136615</v>
      </c>
      <c r="G18" s="32" t="n">
        <f aca="false">IF(G$16&gt;=$AJ$9,$AM$9,$AL$9+($AM$9-$AL$9)*(G$16-2020)/($AJ$9-2020))</f>
        <v>0.692509075698382</v>
      </c>
      <c r="H18" s="32" t="n">
        <f aca="false">IF(H$16&gt;=$AJ$9,$AM$9,$AL$9+($AM$9-$AL$9)*(H$16-2020)/($AJ$9-2020))</f>
        <v>0.692509075698382</v>
      </c>
      <c r="I18" s="32" t="n">
        <f aca="false">IF(I$16&gt;=$AJ$9,$AM$9,$AL$9+($AM$9-$AL$9)*(I$16-2020)/($AJ$9-2020))</f>
        <v>0.692509075698382</v>
      </c>
      <c r="J18" s="32" t="n">
        <f aca="false">IF(J$16&gt;=$AJ$9,$AM$9,$AL$9+($AM$9-$AL$9)*(J$16-2020)/($AJ$9-2020))</f>
        <v>0.692509075698382</v>
      </c>
      <c r="K18" s="32" t="n">
        <f aca="false">IF(K$16&gt;=$AJ$9,$AM$9,$AL$9+($AM$9-$AL$9)*(K$16-2020)/($AJ$9-2020))</f>
        <v>0.692509075698382</v>
      </c>
      <c r="L18" s="32" t="n">
        <f aca="false">IF(L$16&gt;=$AJ$9,$AM$9,$AL$9+($AM$9-$AL$9)*(L$16-2020)/($AJ$9-2020))</f>
        <v>0.692509075698382</v>
      </c>
      <c r="M18" s="32" t="n">
        <f aca="false">IF(M$16&gt;=$AJ$9,$AM$9,$AL$9+($AM$9-$AL$9)*(M$16-2020)/($AJ$9-2020))</f>
        <v>0.692509075698382</v>
      </c>
      <c r="N18" s="32" t="n">
        <f aca="false">IF(N$16&gt;=$AJ$9,$AM$9,$AL$9+($AM$9-$AL$9)*(N$16-2020)/($AJ$9-2020))</f>
        <v>0.692509075698382</v>
      </c>
      <c r="O18" s="32" t="n">
        <f aca="false">IF(O$16&gt;=$AJ$9,$AM$9,$AL$9+($AM$9-$AL$9)*(O$16-2020)/($AJ$9-2020))</f>
        <v>0.692509075698382</v>
      </c>
      <c r="P18" s="32" t="n">
        <f aca="false">IF(P$16&gt;=$AJ$9,$AM$9,$AL$9+($AM$9-$AL$9)*(P$16-2020)/($AJ$9-2020))</f>
        <v>0.692509075698382</v>
      </c>
      <c r="Q18" s="32" t="n">
        <f aca="false">IF(Q$16&gt;=$AJ$9,$AM$9,$AL$9+($AM$9-$AL$9)*(Q$16-2020)/($AJ$9-2020))</f>
        <v>0.692509075698382</v>
      </c>
      <c r="R18" s="32" t="n">
        <f aca="false">IF(R$16&gt;=$AJ$9,$AM$9,$AL$9+($AM$9-$AL$9)*(R$16-2020)/($AJ$9-2020))</f>
        <v>0.692509075698382</v>
      </c>
      <c r="S18" s="32" t="n">
        <f aca="false">IF(S$16&gt;=$AJ$9,$AM$9,$AL$9+($AM$9-$AL$9)*(S$16-2020)/($AJ$9-2020))</f>
        <v>0.692509075698382</v>
      </c>
      <c r="T18" s="32" t="n">
        <f aca="false">IF(T$16&gt;=$AJ$9,$AM$9,$AL$9+($AM$9-$AL$9)*(T$16-2020)/($AJ$9-2020))</f>
        <v>0.692509075698382</v>
      </c>
      <c r="U18" s="32" t="n">
        <f aca="false">IF(U$16&gt;=$AJ$9,$AM$9,$AL$9+($AM$9-$AL$9)*(U$16-2020)/($AJ$9-2020))</f>
        <v>0.692509075698382</v>
      </c>
      <c r="V18" s="32" t="n">
        <f aca="false">IF(V$16&gt;=$AJ$9,$AM$9,$AL$9+($AM$9-$AL$9)*(V$16-2020)/($AJ$9-2020))</f>
        <v>0.692509075698382</v>
      </c>
      <c r="W18" s="32" t="n">
        <f aca="false">IF(W$16&gt;=$AJ$9,$AM$9,$AL$9+($AM$9-$AL$9)*(W$16-2020)/($AJ$9-2020))</f>
        <v>0.692509075698382</v>
      </c>
      <c r="X18" s="32" t="n">
        <f aca="false">IF(X$16&gt;=$AJ$9,$AM$9,$AL$9+($AM$9-$AL$9)*(X$16-2020)/($AJ$9-2020))</f>
        <v>0.692509075698382</v>
      </c>
      <c r="Y18" s="32" t="n">
        <f aca="false">IF(Y$16&gt;=$AJ$9,$AM$9,$AL$9+($AM$9-$AL$9)*(Y$16-2020)/($AJ$9-2020))</f>
        <v>0.692509075698382</v>
      </c>
      <c r="Z18" s="32" t="n">
        <f aca="false">IF(Z$16&gt;=$AJ$9,$AM$9,$AL$9+($AM$9-$AL$9)*(Z$16-2020)/($AJ$9-2020))</f>
        <v>0.692509075698382</v>
      </c>
      <c r="AA18" s="32" t="n">
        <f aca="false">IF(AA$16&gt;=$AJ$9,$AM$9,$AL$9+($AM$9-$AL$9)*(AA$16-2020)/($AJ$9-2020))</f>
        <v>0.692509075698382</v>
      </c>
      <c r="AB18" s="32" t="n">
        <f aca="false">IF(AB$16&gt;=$AJ$9,$AM$9,$AL$9+($AM$9-$AL$9)*(AB$16-2020)/($AJ$9-2020))</f>
        <v>0.692509075698382</v>
      </c>
      <c r="AC18" s="32" t="n">
        <f aca="false">IF(AC$16&gt;=$AJ$9,$AM$9,$AL$9+($AM$9-$AL$9)*(AC$16-2020)/($AJ$9-2020))</f>
        <v>0.692509075698382</v>
      </c>
      <c r="AD18" s="32" t="n">
        <f aca="false">IF(AD$16&gt;=$AJ$9,$AM$9,$AL$9+($AM$9-$AL$9)*(AD$16-2020)/($AJ$9-2020))</f>
        <v>0.692509075698382</v>
      </c>
      <c r="AE18" s="32" t="n">
        <f aca="false">IF(AE$16&gt;=$AJ$9,$AM$9,$AL$9+($AM$9-$AL$9)*(AE$16-2020)/($AJ$9-2020))</f>
        <v>0.692509075698382</v>
      </c>
      <c r="AF18" s="32" t="n">
        <f aca="false">IF(AF$16&gt;=$AJ$9,$AM$9,$AL$9+($AM$9-$AL$9)*(AF$16-2020)/($AJ$9-2020))</f>
        <v>0.692509075698382</v>
      </c>
      <c r="AG18" s="32" t="n">
        <f aca="false">IF(AG$16&gt;=$AJ$9,$AM$9,$AL$9+($AM$9-$AL$9)*(AG$16-2020)/($AJ$9-2020))</f>
        <v>0.692509075698382</v>
      </c>
    </row>
    <row r="19" customFormat="false" ht="15" hidden="false" customHeight="true" outlineLevel="0" collapsed="false">
      <c r="A19" s="1" t="s">
        <v>21</v>
      </c>
      <c r="B19" s="32" t="n">
        <v>1</v>
      </c>
      <c r="C19" s="32" t="n">
        <f aca="false">IF(C$16&gt;=$AJ$10,$AM$10,$AL$10+($AM$10-$AL$10)*(C$16-2020)/($AJ$10-2020))</f>
        <v>1.08985080730321</v>
      </c>
      <c r="D19" s="32" t="n">
        <f aca="false">IF(D$16&gt;=$AJ$10,$AM$10,$AL$10+($AM$10-$AL$10)*(D$16-2020)/($AJ$10-2020))</f>
        <v>1.02460412534288</v>
      </c>
      <c r="E19" s="32" t="n">
        <f aca="false">IF(E$16&gt;=$AJ$10,$AM$10,$AL$10+($AM$10-$AL$10)*(E$16-2020)/($AJ$10-2020))</f>
        <v>0.959357443382552</v>
      </c>
      <c r="F19" s="32" t="n">
        <f aca="false">IF(F$16&gt;=$AJ$10,$AM$10,$AL$10+($AM$10-$AL$10)*(F$16-2020)/($AJ$10-2020))</f>
        <v>0.894110761422225</v>
      </c>
      <c r="G19" s="32" t="n">
        <f aca="false">IF(G$16&gt;=$AJ$10,$AM$10,$AL$10+($AM$10-$AL$10)*(G$16-2020)/($AJ$10-2020))</f>
        <v>0.828864079461898</v>
      </c>
      <c r="H19" s="32" t="n">
        <f aca="false">IF(H$16&gt;=$AJ$10,$AM$10,$AL$10+($AM$10-$AL$10)*(H$16-2020)/($AJ$10-2020))</f>
        <v>0.76361739750157</v>
      </c>
      <c r="I19" s="32" t="n">
        <f aca="false">IF(I$16&gt;=$AJ$10,$AM$10,$AL$10+($AM$10-$AL$10)*(I$16-2020)/($AJ$10-2020))</f>
        <v>0.76361739750157</v>
      </c>
      <c r="J19" s="32" t="n">
        <f aca="false">IF(J$16&gt;=$AJ$10,$AM$10,$AL$10+($AM$10-$AL$10)*(J$16-2020)/($AJ$10-2020))</f>
        <v>0.76361739750157</v>
      </c>
      <c r="K19" s="32" t="n">
        <f aca="false">IF(K$16&gt;=$AJ$10,$AM$10,$AL$10+($AM$10-$AL$10)*(K$16-2020)/($AJ$10-2020))</f>
        <v>0.76361739750157</v>
      </c>
      <c r="L19" s="32" t="n">
        <f aca="false">IF(L$16&gt;=$AJ$10,$AM$10,$AL$10+($AM$10-$AL$10)*(L$16-2020)/($AJ$10-2020))</f>
        <v>0.76361739750157</v>
      </c>
      <c r="M19" s="32" t="n">
        <f aca="false">IF(M$16&gt;=$AJ$10,$AM$10,$AL$10+($AM$10-$AL$10)*(M$16-2020)/($AJ$10-2020))</f>
        <v>0.76361739750157</v>
      </c>
      <c r="N19" s="32" t="n">
        <f aca="false">IF(N$16&gt;=$AJ$10,$AM$10,$AL$10+($AM$10-$AL$10)*(N$16-2020)/($AJ$10-2020))</f>
        <v>0.76361739750157</v>
      </c>
      <c r="O19" s="32" t="n">
        <f aca="false">IF(O$16&gt;=$AJ$10,$AM$10,$AL$10+($AM$10-$AL$10)*(O$16-2020)/($AJ$10-2020))</f>
        <v>0.76361739750157</v>
      </c>
      <c r="P19" s="32" t="n">
        <f aca="false">IF(P$16&gt;=$AJ$10,$AM$10,$AL$10+($AM$10-$AL$10)*(P$16-2020)/($AJ$10-2020))</f>
        <v>0.76361739750157</v>
      </c>
      <c r="Q19" s="32" t="n">
        <f aca="false">IF(Q$16&gt;=$AJ$10,$AM$10,$AL$10+($AM$10-$AL$10)*(Q$16-2020)/($AJ$10-2020))</f>
        <v>0.76361739750157</v>
      </c>
      <c r="R19" s="32" t="n">
        <f aca="false">IF(R$16&gt;=$AJ$10,$AM$10,$AL$10+($AM$10-$AL$10)*(R$16-2020)/($AJ$10-2020))</f>
        <v>0.76361739750157</v>
      </c>
      <c r="S19" s="32" t="n">
        <f aca="false">IF(S$16&gt;=$AJ$10,$AM$10,$AL$10+($AM$10-$AL$10)*(S$16-2020)/($AJ$10-2020))</f>
        <v>0.76361739750157</v>
      </c>
      <c r="T19" s="32" t="n">
        <f aca="false">IF(T$16&gt;=$AJ$10,$AM$10,$AL$10+($AM$10-$AL$10)*(T$16-2020)/($AJ$10-2020))</f>
        <v>0.76361739750157</v>
      </c>
      <c r="U19" s="32" t="n">
        <f aca="false">IF(U$16&gt;=$AJ$10,$AM$10,$AL$10+($AM$10-$AL$10)*(U$16-2020)/($AJ$10-2020))</f>
        <v>0.76361739750157</v>
      </c>
      <c r="V19" s="32" t="n">
        <f aca="false">IF(V$16&gt;=$AJ$10,$AM$10,$AL$10+($AM$10-$AL$10)*(V$16-2020)/($AJ$10-2020))</f>
        <v>0.76361739750157</v>
      </c>
      <c r="W19" s="32" t="n">
        <f aca="false">IF(W$16&gt;=$AJ$10,$AM$10,$AL$10+($AM$10-$AL$10)*(W$16-2020)/($AJ$10-2020))</f>
        <v>0.76361739750157</v>
      </c>
      <c r="X19" s="32" t="n">
        <f aca="false">IF(X$16&gt;=$AJ$10,$AM$10,$AL$10+($AM$10-$AL$10)*(X$16-2020)/($AJ$10-2020))</f>
        <v>0.76361739750157</v>
      </c>
      <c r="Y19" s="32" t="n">
        <f aca="false">IF(Y$16&gt;=$AJ$10,$AM$10,$AL$10+($AM$10-$AL$10)*(Y$16-2020)/($AJ$10-2020))</f>
        <v>0.76361739750157</v>
      </c>
      <c r="Z19" s="32" t="n">
        <f aca="false">IF(Z$16&gt;=$AJ$10,$AM$10,$AL$10+($AM$10-$AL$10)*(Z$16-2020)/($AJ$10-2020))</f>
        <v>0.76361739750157</v>
      </c>
      <c r="AA19" s="32" t="n">
        <f aca="false">IF(AA$16&gt;=$AJ$10,$AM$10,$AL$10+($AM$10-$AL$10)*(AA$16-2020)/($AJ$10-2020))</f>
        <v>0.76361739750157</v>
      </c>
      <c r="AB19" s="32" t="n">
        <f aca="false">IF(AB$16&gt;=$AJ$10,$AM$10,$AL$10+($AM$10-$AL$10)*(AB$16-2020)/($AJ$10-2020))</f>
        <v>0.76361739750157</v>
      </c>
      <c r="AC19" s="32" t="n">
        <f aca="false">IF(AC$16&gt;=$AJ$10,$AM$10,$AL$10+($AM$10-$AL$10)*(AC$16-2020)/($AJ$10-2020))</f>
        <v>0.76361739750157</v>
      </c>
      <c r="AD19" s="32" t="n">
        <f aca="false">IF(AD$16&gt;=$AJ$10,$AM$10,$AL$10+($AM$10-$AL$10)*(AD$16-2020)/($AJ$10-2020))</f>
        <v>0.76361739750157</v>
      </c>
      <c r="AE19" s="32" t="n">
        <f aca="false">IF(AE$16&gt;=$AJ$10,$AM$10,$AL$10+($AM$10-$AL$10)*(AE$16-2020)/($AJ$10-2020))</f>
        <v>0.76361739750157</v>
      </c>
      <c r="AF19" s="32" t="n">
        <f aca="false">IF(AF$16&gt;=$AJ$10,$AM$10,$AL$10+($AM$10-$AL$10)*(AF$16-2020)/($AJ$10-2020))</f>
        <v>0.76361739750157</v>
      </c>
      <c r="AG19" s="32" t="n">
        <f aca="false">IF(AG$16&gt;=$AJ$10,$AM$10,$AL$10+($AM$10-$AL$10)*(AG$16-2020)/($AJ$10-2020))</f>
        <v>0.76361739750157</v>
      </c>
    </row>
    <row r="20" customFormat="false" ht="15" hidden="false" customHeight="true" outlineLevel="0" collapsed="false">
      <c r="A20" s="1" t="s">
        <v>174</v>
      </c>
      <c r="B20" s="32" t="n">
        <v>1</v>
      </c>
      <c r="C20" s="32" t="n">
        <f aca="false">IF(C$16&gt;=$AJ$11,$AM$11,$AL$11+($AM$11-$AL$11)*(C$16-2020)/($AJ$11-2020))</f>
        <v>1.13904761904762</v>
      </c>
      <c r="D20" s="32" t="n">
        <f aca="false">IF(D$16&gt;=$AJ$11,$AM$11,$AL$11+($AM$11-$AL$11)*(D$16-2020)/($AJ$11-2020))</f>
        <v>1.0065299612668</v>
      </c>
      <c r="E20" s="32" t="n">
        <f aca="false">IF(E$16&gt;=$AJ$11,$AM$11,$AL$11+($AM$11-$AL$11)*(E$16-2020)/($AJ$11-2020))</f>
        <v>0.874012303485987</v>
      </c>
      <c r="F20" s="32" t="n">
        <f aca="false">IF(F$16&gt;=$AJ$11,$AM$11,$AL$11+($AM$11-$AL$11)*(F$16-2020)/($AJ$11-2020))</f>
        <v>0.741494645705172</v>
      </c>
      <c r="G20" s="32" t="n">
        <f aca="false">IF(G$16&gt;=$AJ$11,$AM$11,$AL$11+($AM$11-$AL$11)*(G$16-2020)/($AJ$11-2020))</f>
        <v>0.608976987924356</v>
      </c>
      <c r="H20" s="32" t="n">
        <f aca="false">IF(H$16&gt;=$AJ$11,$AM$11,$AL$11+($AM$11-$AL$11)*(H$16-2020)/($AJ$11-2020))</f>
        <v>0.608976987924356</v>
      </c>
      <c r="I20" s="32" t="n">
        <f aca="false">IF(I$16&gt;=$AJ$11,$AM$11,$AL$11+($AM$11-$AL$11)*(I$16-2020)/($AJ$11-2020))</f>
        <v>0.608976987924356</v>
      </c>
      <c r="J20" s="32" t="n">
        <f aca="false">IF(J$16&gt;=$AJ$11,$AM$11,$AL$11+($AM$11-$AL$11)*(J$16-2020)/($AJ$11-2020))</f>
        <v>0.608976987924356</v>
      </c>
      <c r="K20" s="32" t="n">
        <f aca="false">IF(K$16&gt;=$AJ$11,$AM$11,$AL$11+($AM$11-$AL$11)*(K$16-2020)/($AJ$11-2020))</f>
        <v>0.608976987924356</v>
      </c>
      <c r="L20" s="32" t="n">
        <f aca="false">IF(L$16&gt;=$AJ$11,$AM$11,$AL$11+($AM$11-$AL$11)*(L$16-2020)/($AJ$11-2020))</f>
        <v>0.608976987924356</v>
      </c>
      <c r="M20" s="32" t="n">
        <f aca="false">IF(M$16&gt;=$AJ$11,$AM$11,$AL$11+($AM$11-$AL$11)*(M$16-2020)/($AJ$11-2020))</f>
        <v>0.608976987924356</v>
      </c>
      <c r="N20" s="32" t="n">
        <f aca="false">IF(N$16&gt;=$AJ$11,$AM$11,$AL$11+($AM$11-$AL$11)*(N$16-2020)/($AJ$11-2020))</f>
        <v>0.608976987924356</v>
      </c>
      <c r="O20" s="32" t="n">
        <f aca="false">IF(O$16&gt;=$AJ$11,$AM$11,$AL$11+($AM$11-$AL$11)*(O$16-2020)/($AJ$11-2020))</f>
        <v>0.608976987924356</v>
      </c>
      <c r="P20" s="32" t="n">
        <f aca="false">IF(P$16&gt;=$AJ$11,$AM$11,$AL$11+($AM$11-$AL$11)*(P$16-2020)/($AJ$11-2020))</f>
        <v>0.608976987924356</v>
      </c>
      <c r="Q20" s="32" t="n">
        <f aca="false">IF(Q$16&gt;=$AJ$11,$AM$11,$AL$11+($AM$11-$AL$11)*(Q$16-2020)/($AJ$11-2020))</f>
        <v>0.608976987924356</v>
      </c>
      <c r="R20" s="32" t="n">
        <f aca="false">IF(R$16&gt;=$AJ$11,$AM$11,$AL$11+($AM$11-$AL$11)*(R$16-2020)/($AJ$11-2020))</f>
        <v>0.608976987924356</v>
      </c>
      <c r="S20" s="32" t="n">
        <f aca="false">IF(S$16&gt;=$AJ$11,$AM$11,$AL$11+($AM$11-$AL$11)*(S$16-2020)/($AJ$11-2020))</f>
        <v>0.608976987924356</v>
      </c>
      <c r="T20" s="32" t="n">
        <f aca="false">IF(T$16&gt;=$AJ$11,$AM$11,$AL$11+($AM$11-$AL$11)*(T$16-2020)/($AJ$11-2020))</f>
        <v>0.608976987924356</v>
      </c>
      <c r="U20" s="32" t="n">
        <f aca="false">IF(U$16&gt;=$AJ$11,$AM$11,$AL$11+($AM$11-$AL$11)*(U$16-2020)/($AJ$11-2020))</f>
        <v>0.608976987924356</v>
      </c>
      <c r="V20" s="32" t="n">
        <f aca="false">IF(V$16&gt;=$AJ$11,$AM$11,$AL$11+($AM$11-$AL$11)*(V$16-2020)/($AJ$11-2020))</f>
        <v>0.608976987924356</v>
      </c>
      <c r="W20" s="32" t="n">
        <f aca="false">IF(W$16&gt;=$AJ$11,$AM$11,$AL$11+($AM$11-$AL$11)*(W$16-2020)/($AJ$11-2020))</f>
        <v>0.608976987924356</v>
      </c>
      <c r="X20" s="32" t="n">
        <f aca="false">IF(X$16&gt;=$AJ$11,$AM$11,$AL$11+($AM$11-$AL$11)*(X$16-2020)/($AJ$11-2020))</f>
        <v>0.608976987924356</v>
      </c>
      <c r="Y20" s="32" t="n">
        <f aca="false">IF(Y$16&gt;=$AJ$11,$AM$11,$AL$11+($AM$11-$AL$11)*(Y$16-2020)/($AJ$11-2020))</f>
        <v>0.608976987924356</v>
      </c>
      <c r="Z20" s="32" t="n">
        <f aca="false">IF(Z$16&gt;=$AJ$11,$AM$11,$AL$11+($AM$11-$AL$11)*(Z$16-2020)/($AJ$11-2020))</f>
        <v>0.608976987924356</v>
      </c>
      <c r="AA20" s="32" t="n">
        <f aca="false">IF(AA$16&gt;=$AJ$11,$AM$11,$AL$11+($AM$11-$AL$11)*(AA$16-2020)/($AJ$11-2020))</f>
        <v>0.608976987924356</v>
      </c>
      <c r="AB20" s="32" t="n">
        <f aca="false">IF(AB$16&gt;=$AJ$11,$AM$11,$AL$11+($AM$11-$AL$11)*(AB$16-2020)/($AJ$11-2020))</f>
        <v>0.608976987924356</v>
      </c>
      <c r="AC20" s="32" t="n">
        <f aca="false">IF(AC$16&gt;=$AJ$11,$AM$11,$AL$11+($AM$11-$AL$11)*(AC$16-2020)/($AJ$11-2020))</f>
        <v>0.608976987924356</v>
      </c>
      <c r="AD20" s="32" t="n">
        <f aca="false">IF(AD$16&gt;=$AJ$11,$AM$11,$AL$11+($AM$11-$AL$11)*(AD$16-2020)/($AJ$11-2020))</f>
        <v>0.608976987924356</v>
      </c>
      <c r="AE20" s="32" t="n">
        <f aca="false">IF(AE$16&gt;=$AJ$11,$AM$11,$AL$11+($AM$11-$AL$11)*(AE$16-2020)/($AJ$11-2020))</f>
        <v>0.608976987924356</v>
      </c>
      <c r="AF20" s="32" t="n">
        <f aca="false">IF(AF$16&gt;=$AJ$11,$AM$11,$AL$11+($AM$11-$AL$11)*(AF$16-2020)/($AJ$11-2020))</f>
        <v>0.608976987924356</v>
      </c>
      <c r="AG20" s="32" t="n">
        <f aca="false">IF(AG$16&gt;=$AJ$11,$AM$11,$AL$11+($AM$11-$AL$11)*(AG$16-2020)/($AJ$11-2020))</f>
        <v>0.608976987924356</v>
      </c>
    </row>
    <row r="21" customFormat="false" ht="15" hidden="false" customHeight="true" outlineLevel="0" collapsed="false">
      <c r="A21" s="1" t="s">
        <v>20</v>
      </c>
      <c r="B21" s="32" t="n">
        <v>1</v>
      </c>
      <c r="C21" s="32" t="n">
        <f aca="false">IF(C$16&gt;=$AJ$12,$AM$12,$AL$12+($AM$12-$AL$12)*(C$16-2020)/($AJ$12-2020))</f>
        <v>1.13655844155844</v>
      </c>
      <c r="D21" s="32" t="n">
        <f aca="false">IF(D$16&gt;=$AJ$12,$AM$12,$AL$12+($AM$12-$AL$12)*(D$16-2020)/($AJ$12-2020))</f>
        <v>1.03819141886077</v>
      </c>
      <c r="E21" s="32" t="n">
        <f aca="false">IF(E$16&gt;=$AJ$12,$AM$12,$AL$12+($AM$12-$AL$12)*(E$16-2020)/($AJ$12-2020))</f>
        <v>0.939824396163089</v>
      </c>
      <c r="F21" s="32" t="n">
        <f aca="false">IF(F$16&gt;=$AJ$12,$AM$12,$AL$12+($AM$12-$AL$12)*(F$16-2020)/($AJ$12-2020))</f>
        <v>0.841457373465412</v>
      </c>
      <c r="G21" s="32" t="n">
        <f aca="false">IF(G$16&gt;=$AJ$12,$AM$12,$AL$12+($AM$12-$AL$12)*(G$16-2020)/($AJ$12-2020))</f>
        <v>0.743090350767735</v>
      </c>
      <c r="H21" s="32" t="n">
        <f aca="false">IF(H$16&gt;=$AJ$12,$AM$12,$AL$12+($AM$12-$AL$12)*(H$16-2020)/($AJ$12-2020))</f>
        <v>0.743090350767735</v>
      </c>
      <c r="I21" s="32" t="n">
        <f aca="false">IF(I$16&gt;=$AJ$12,$AM$12,$AL$12+($AM$12-$AL$12)*(I$16-2020)/($AJ$12-2020))</f>
        <v>0.743090350767735</v>
      </c>
      <c r="J21" s="32" t="n">
        <f aca="false">IF(J$16&gt;=$AJ$12,$AM$12,$AL$12+($AM$12-$AL$12)*(J$16-2020)/($AJ$12-2020))</f>
        <v>0.743090350767735</v>
      </c>
      <c r="K21" s="32" t="n">
        <f aca="false">IF(K$16&gt;=$AJ$12,$AM$12,$AL$12+($AM$12-$AL$12)*(K$16-2020)/($AJ$12-2020))</f>
        <v>0.743090350767735</v>
      </c>
      <c r="L21" s="32" t="n">
        <f aca="false">IF(L$16&gt;=$AJ$12,$AM$12,$AL$12+($AM$12-$AL$12)*(L$16-2020)/($AJ$12-2020))</f>
        <v>0.743090350767735</v>
      </c>
      <c r="M21" s="32" t="n">
        <f aca="false">IF(M$16&gt;=$AJ$12,$AM$12,$AL$12+($AM$12-$AL$12)*(M$16-2020)/($AJ$12-2020))</f>
        <v>0.743090350767735</v>
      </c>
      <c r="N21" s="32" t="n">
        <f aca="false">IF(N$16&gt;=$AJ$12,$AM$12,$AL$12+($AM$12-$AL$12)*(N$16-2020)/($AJ$12-2020))</f>
        <v>0.743090350767735</v>
      </c>
      <c r="O21" s="32" t="n">
        <f aca="false">IF(O$16&gt;=$AJ$12,$AM$12,$AL$12+($AM$12-$AL$12)*(O$16-2020)/($AJ$12-2020))</f>
        <v>0.743090350767735</v>
      </c>
      <c r="P21" s="32" t="n">
        <f aca="false">IF(P$16&gt;=$AJ$12,$AM$12,$AL$12+($AM$12-$AL$12)*(P$16-2020)/($AJ$12-2020))</f>
        <v>0.743090350767735</v>
      </c>
      <c r="Q21" s="32" t="n">
        <f aca="false">IF(Q$16&gt;=$AJ$12,$AM$12,$AL$12+($AM$12-$AL$12)*(Q$16-2020)/($AJ$12-2020))</f>
        <v>0.743090350767735</v>
      </c>
      <c r="R21" s="32" t="n">
        <f aca="false">IF(R$16&gt;=$AJ$12,$AM$12,$AL$12+($AM$12-$AL$12)*(R$16-2020)/($AJ$12-2020))</f>
        <v>0.743090350767735</v>
      </c>
      <c r="S21" s="32" t="n">
        <f aca="false">IF(S$16&gt;=$AJ$12,$AM$12,$AL$12+($AM$12-$AL$12)*(S$16-2020)/($AJ$12-2020))</f>
        <v>0.743090350767735</v>
      </c>
      <c r="T21" s="32" t="n">
        <f aca="false">IF(T$16&gt;=$AJ$12,$AM$12,$AL$12+($AM$12-$AL$12)*(T$16-2020)/($AJ$12-2020))</f>
        <v>0.743090350767735</v>
      </c>
      <c r="U21" s="32" t="n">
        <f aca="false">IF(U$16&gt;=$AJ$12,$AM$12,$AL$12+($AM$12-$AL$12)*(U$16-2020)/($AJ$12-2020))</f>
        <v>0.743090350767735</v>
      </c>
      <c r="V21" s="32" t="n">
        <f aca="false">IF(V$16&gt;=$AJ$12,$AM$12,$AL$12+($AM$12-$AL$12)*(V$16-2020)/($AJ$12-2020))</f>
        <v>0.743090350767735</v>
      </c>
      <c r="W21" s="32" t="n">
        <f aca="false">IF(W$16&gt;=$AJ$12,$AM$12,$AL$12+($AM$12-$AL$12)*(W$16-2020)/($AJ$12-2020))</f>
        <v>0.743090350767735</v>
      </c>
      <c r="X21" s="32" t="n">
        <f aca="false">IF(X$16&gt;=$AJ$12,$AM$12,$AL$12+($AM$12-$AL$12)*(X$16-2020)/($AJ$12-2020))</f>
        <v>0.743090350767735</v>
      </c>
      <c r="Y21" s="32" t="n">
        <f aca="false">IF(Y$16&gt;=$AJ$12,$AM$12,$AL$12+($AM$12-$AL$12)*(Y$16-2020)/($AJ$12-2020))</f>
        <v>0.743090350767735</v>
      </c>
      <c r="Z21" s="32" t="n">
        <f aca="false">IF(Z$16&gt;=$AJ$12,$AM$12,$AL$12+($AM$12-$AL$12)*(Z$16-2020)/($AJ$12-2020))</f>
        <v>0.743090350767735</v>
      </c>
      <c r="AA21" s="32" t="n">
        <f aca="false">IF(AA$16&gt;=$AJ$12,$AM$12,$AL$12+($AM$12-$AL$12)*(AA$16-2020)/($AJ$12-2020))</f>
        <v>0.743090350767735</v>
      </c>
      <c r="AB21" s="32" t="n">
        <f aca="false">IF(AB$16&gt;=$AJ$12,$AM$12,$AL$12+($AM$12-$AL$12)*(AB$16-2020)/($AJ$12-2020))</f>
        <v>0.743090350767735</v>
      </c>
      <c r="AC21" s="32" t="n">
        <f aca="false">IF(AC$16&gt;=$AJ$12,$AM$12,$AL$12+($AM$12-$AL$12)*(AC$16-2020)/($AJ$12-2020))</f>
        <v>0.743090350767735</v>
      </c>
      <c r="AD21" s="32" t="n">
        <f aca="false">IF(AD$16&gt;=$AJ$12,$AM$12,$AL$12+($AM$12-$AL$12)*(AD$16-2020)/($AJ$12-2020))</f>
        <v>0.743090350767735</v>
      </c>
      <c r="AE21" s="32" t="n">
        <f aca="false">IF(AE$16&gt;=$AJ$12,$AM$12,$AL$12+($AM$12-$AL$12)*(AE$16-2020)/($AJ$12-2020))</f>
        <v>0.743090350767735</v>
      </c>
      <c r="AF21" s="32" t="n">
        <f aca="false">IF(AF$16&gt;=$AJ$12,$AM$12,$AL$12+($AM$12-$AL$12)*(AF$16-2020)/($AJ$12-2020))</f>
        <v>0.743090350767735</v>
      </c>
      <c r="AG21" s="32" t="n">
        <f aca="false">IF(AG$16&gt;=$AJ$12,$AM$12,$AL$12+($AM$12-$AL$12)*(AG$16-2020)/($AJ$12-2020))</f>
        <v>0.743090350767735</v>
      </c>
    </row>
    <row r="22" customFormat="false" ht="15" hidden="false" customHeight="true" outlineLevel="0" collapsed="false">
      <c r="A22" s="1" t="s">
        <v>177</v>
      </c>
      <c r="B22" s="32" t="n">
        <v>1</v>
      </c>
      <c r="C22" s="32" t="n">
        <f aca="false">IF(C$16&gt;=$AJ$13,$AM$13,$AL$13+($AM$13-$AL$13)*(C$16-2020)/($AJ$13-2020))</f>
        <v>1.09624543481715</v>
      </c>
      <c r="D22" s="32" t="n">
        <f aca="false">IF(D$16&gt;=$AJ$13,$AM$13,$AL$13+($AM$13-$AL$13)*(D$16-2020)/($AJ$13-2020))</f>
        <v>1.03520432785681</v>
      </c>
      <c r="E22" s="32" t="n">
        <f aca="false">IF(E$16&gt;=$AJ$13,$AM$13,$AL$13+($AM$13-$AL$13)*(E$16-2020)/($AJ$13-2020))</f>
        <v>0.974163220896461</v>
      </c>
      <c r="F22" s="32" t="n">
        <f aca="false">IF(F$16&gt;=$AJ$13,$AM$13,$AL$13+($AM$13-$AL$13)*(F$16-2020)/($AJ$13-2020))</f>
        <v>0.913122113936115</v>
      </c>
      <c r="G22" s="32" t="n">
        <f aca="false">IF(G$16&gt;=$AJ$13,$AM$13,$AL$13+($AM$13-$AL$13)*(G$16-2020)/($AJ$13-2020))</f>
        <v>0.85208100697577</v>
      </c>
      <c r="H22" s="32" t="n">
        <f aca="false">IF(H$16&gt;=$AJ$13,$AM$13,$AL$13+($AM$13-$AL$13)*(H$16-2020)/($AJ$13-2020))</f>
        <v>0.85208100697577</v>
      </c>
      <c r="I22" s="32" t="n">
        <f aca="false">IF(I$16&gt;=$AJ$13,$AM$13,$AL$13+($AM$13-$AL$13)*(I$16-2020)/($AJ$13-2020))</f>
        <v>0.85208100697577</v>
      </c>
      <c r="J22" s="32" t="n">
        <f aca="false">IF(J$16&gt;=$AJ$13,$AM$13,$AL$13+($AM$13-$AL$13)*(J$16-2020)/($AJ$13-2020))</f>
        <v>0.85208100697577</v>
      </c>
      <c r="K22" s="32" t="n">
        <f aca="false">IF(K$16&gt;=$AJ$13,$AM$13,$AL$13+($AM$13-$AL$13)*(K$16-2020)/($AJ$13-2020))</f>
        <v>0.85208100697577</v>
      </c>
      <c r="L22" s="32" t="n">
        <f aca="false">IF(L$16&gt;=$AJ$13,$AM$13,$AL$13+($AM$13-$AL$13)*(L$16-2020)/($AJ$13-2020))</f>
        <v>0.85208100697577</v>
      </c>
      <c r="M22" s="32" t="n">
        <f aca="false">IF(M$16&gt;=$AJ$13,$AM$13,$AL$13+($AM$13-$AL$13)*(M$16-2020)/($AJ$13-2020))</f>
        <v>0.85208100697577</v>
      </c>
      <c r="N22" s="32" t="n">
        <f aca="false">IF(N$16&gt;=$AJ$13,$AM$13,$AL$13+($AM$13-$AL$13)*(N$16-2020)/($AJ$13-2020))</f>
        <v>0.85208100697577</v>
      </c>
      <c r="O22" s="32" t="n">
        <f aca="false">IF(O$16&gt;=$AJ$13,$AM$13,$AL$13+($AM$13-$AL$13)*(O$16-2020)/($AJ$13-2020))</f>
        <v>0.85208100697577</v>
      </c>
      <c r="P22" s="32" t="n">
        <f aca="false">IF(P$16&gt;=$AJ$13,$AM$13,$AL$13+($AM$13-$AL$13)*(P$16-2020)/($AJ$13-2020))</f>
        <v>0.85208100697577</v>
      </c>
      <c r="Q22" s="32" t="n">
        <f aca="false">IF(Q$16&gt;=$AJ$13,$AM$13,$AL$13+($AM$13-$AL$13)*(Q$16-2020)/($AJ$13-2020))</f>
        <v>0.85208100697577</v>
      </c>
      <c r="R22" s="32" t="n">
        <f aca="false">IF(R$16&gt;=$AJ$13,$AM$13,$AL$13+($AM$13-$AL$13)*(R$16-2020)/($AJ$13-2020))</f>
        <v>0.85208100697577</v>
      </c>
      <c r="S22" s="32" t="n">
        <f aca="false">IF(S$16&gt;=$AJ$13,$AM$13,$AL$13+($AM$13-$AL$13)*(S$16-2020)/($AJ$13-2020))</f>
        <v>0.85208100697577</v>
      </c>
      <c r="T22" s="32" t="n">
        <f aca="false">IF(T$16&gt;=$AJ$13,$AM$13,$AL$13+($AM$13-$AL$13)*(T$16-2020)/($AJ$13-2020))</f>
        <v>0.85208100697577</v>
      </c>
      <c r="U22" s="32" t="n">
        <f aca="false">IF(U$16&gt;=$AJ$13,$AM$13,$AL$13+($AM$13-$AL$13)*(U$16-2020)/($AJ$13-2020))</f>
        <v>0.85208100697577</v>
      </c>
      <c r="V22" s="32" t="n">
        <f aca="false">IF(V$16&gt;=$AJ$13,$AM$13,$AL$13+($AM$13-$AL$13)*(V$16-2020)/($AJ$13-2020))</f>
        <v>0.85208100697577</v>
      </c>
      <c r="W22" s="32" t="n">
        <f aca="false">IF(W$16&gt;=$AJ$13,$AM$13,$AL$13+($AM$13-$AL$13)*(W$16-2020)/($AJ$13-2020))</f>
        <v>0.85208100697577</v>
      </c>
      <c r="X22" s="32" t="n">
        <f aca="false">IF(X$16&gt;=$AJ$13,$AM$13,$AL$13+($AM$13-$AL$13)*(X$16-2020)/($AJ$13-2020))</f>
        <v>0.85208100697577</v>
      </c>
      <c r="Y22" s="32" t="n">
        <f aca="false">IF(Y$16&gt;=$AJ$13,$AM$13,$AL$13+($AM$13-$AL$13)*(Y$16-2020)/($AJ$13-2020))</f>
        <v>0.85208100697577</v>
      </c>
      <c r="Z22" s="32" t="n">
        <f aca="false">IF(Z$16&gt;=$AJ$13,$AM$13,$AL$13+($AM$13-$AL$13)*(Z$16-2020)/($AJ$13-2020))</f>
        <v>0.85208100697577</v>
      </c>
      <c r="AA22" s="32" t="n">
        <f aca="false">IF(AA$16&gt;=$AJ$13,$AM$13,$AL$13+($AM$13-$AL$13)*(AA$16-2020)/($AJ$13-2020))</f>
        <v>0.85208100697577</v>
      </c>
      <c r="AB22" s="32" t="n">
        <f aca="false">IF(AB$16&gt;=$AJ$13,$AM$13,$AL$13+($AM$13-$AL$13)*(AB$16-2020)/($AJ$13-2020))</f>
        <v>0.85208100697577</v>
      </c>
      <c r="AC22" s="32" t="n">
        <f aca="false">IF(AC$16&gt;=$AJ$13,$AM$13,$AL$13+($AM$13-$AL$13)*(AC$16-2020)/($AJ$13-2020))</f>
        <v>0.85208100697577</v>
      </c>
      <c r="AD22" s="32" t="n">
        <f aca="false">IF(AD$16&gt;=$AJ$13,$AM$13,$AL$13+($AM$13-$AL$13)*(AD$16-2020)/($AJ$13-2020))</f>
        <v>0.85208100697577</v>
      </c>
      <c r="AE22" s="32" t="n">
        <f aca="false">IF(AE$16&gt;=$AJ$13,$AM$13,$AL$13+($AM$13-$AL$13)*(AE$16-2020)/($AJ$13-2020))</f>
        <v>0.85208100697577</v>
      </c>
      <c r="AF22" s="32" t="n">
        <f aca="false">IF(AF$16&gt;=$AJ$13,$AM$13,$AL$13+($AM$13-$AL$13)*(AF$16-2020)/($AJ$13-2020))</f>
        <v>0.85208100697577</v>
      </c>
      <c r="AG22" s="32" t="n">
        <f aca="false">IF(AG$16&gt;=$AJ$13,$AM$13,$AL$13+($AM$13-$AL$13)*(AG$16-2020)/($AJ$13-2020))</f>
        <v>0.85208100697577</v>
      </c>
    </row>
    <row r="24" customFormat="false" ht="15" hidden="false" customHeight="true" outlineLevel="0" collapsed="false">
      <c r="A24" s="28" t="s">
        <v>199</v>
      </c>
    </row>
    <row r="25" customFormat="false" ht="15" hidden="false" customHeight="true" outlineLevel="0" collapsed="false">
      <c r="B25" s="28" t="n">
        <v>2019</v>
      </c>
      <c r="C25" s="28" t="n">
        <v>2020</v>
      </c>
      <c r="D25" s="28" t="n">
        <v>2021</v>
      </c>
      <c r="E25" s="28" t="n">
        <v>2022</v>
      </c>
      <c r="F25" s="28" t="n">
        <v>2023</v>
      </c>
      <c r="G25" s="28" t="n">
        <v>2024</v>
      </c>
      <c r="H25" s="28" t="n">
        <v>2025</v>
      </c>
      <c r="I25" s="28" t="n">
        <v>2026</v>
      </c>
      <c r="J25" s="28" t="n">
        <v>2027</v>
      </c>
      <c r="K25" s="28" t="n">
        <v>2028</v>
      </c>
      <c r="L25" s="28" t="n">
        <v>2029</v>
      </c>
      <c r="M25" s="28" t="n">
        <v>2030</v>
      </c>
      <c r="N25" s="28" t="n">
        <v>2031</v>
      </c>
      <c r="O25" s="28" t="n">
        <v>2032</v>
      </c>
      <c r="P25" s="28" t="n">
        <v>2033</v>
      </c>
      <c r="Q25" s="28" t="n">
        <v>2034</v>
      </c>
      <c r="R25" s="28" t="n">
        <v>2035</v>
      </c>
      <c r="S25" s="28" t="n">
        <v>2036</v>
      </c>
      <c r="T25" s="28" t="n">
        <v>2037</v>
      </c>
      <c r="U25" s="28" t="n">
        <v>2038</v>
      </c>
      <c r="V25" s="28" t="n">
        <v>2039</v>
      </c>
      <c r="W25" s="28" t="n">
        <v>2040</v>
      </c>
      <c r="X25" s="28" t="n">
        <v>2041</v>
      </c>
      <c r="Y25" s="28" t="n">
        <v>2042</v>
      </c>
      <c r="Z25" s="28" t="n">
        <v>2043</v>
      </c>
      <c r="AA25" s="28" t="n">
        <v>2044</v>
      </c>
      <c r="AB25" s="28" t="n">
        <v>2045</v>
      </c>
      <c r="AC25" s="28" t="n">
        <v>2046</v>
      </c>
      <c r="AD25" s="28" t="n">
        <v>2047</v>
      </c>
      <c r="AE25" s="28" t="n">
        <v>2048</v>
      </c>
      <c r="AF25" s="28" t="n">
        <v>2049</v>
      </c>
      <c r="AG25" s="28" t="n">
        <v>2050</v>
      </c>
    </row>
    <row r="26" customFormat="false" ht="15" hidden="false" customHeight="true" outlineLevel="0" collapsed="false">
      <c r="A26" s="1" t="s">
        <v>168</v>
      </c>
      <c r="B26" s="32" t="n">
        <f aca="false">B8*B17</f>
        <v>1</v>
      </c>
      <c r="C26" s="32" t="n">
        <f aca="false">C8*C17</f>
        <v>1.15</v>
      </c>
      <c r="D26" s="32" t="n">
        <f aca="false">D8*D17</f>
        <v>1.14468898063315</v>
      </c>
      <c r="E26" s="32" t="n">
        <f aca="false">E8*E17</f>
        <v>1.13458245663295</v>
      </c>
      <c r="F26" s="32" t="n">
        <f aca="false">F8*F17</f>
        <v>1.11975015338797</v>
      </c>
      <c r="G26" s="32" t="n">
        <f aca="false">G8*G17</f>
        <v>1.10028586536941</v>
      </c>
      <c r="H26" s="32" t="n">
        <f aca="false">H8*H17</f>
        <v>1.13857276532939</v>
      </c>
      <c r="I26" s="32" t="n">
        <f aca="false">I8*I17</f>
        <v>1.17452176212071</v>
      </c>
      <c r="J26" s="32" t="n">
        <f aca="false">J8*J17</f>
        <v>1.20829408935971</v>
      </c>
      <c r="K26" s="32" t="n">
        <f aca="false">K8*K17</f>
        <v>1.23999419972006</v>
      </c>
      <c r="L26" s="32" t="n">
        <f aca="false">L8*L17</f>
        <v>1.26969399251677</v>
      </c>
      <c r="M26" s="32" t="n">
        <f aca="false">M8*M17</f>
        <v>1.29748698385608</v>
      </c>
      <c r="N26" s="32" t="n">
        <f aca="false">N8*N17</f>
        <v>1.32354058944593</v>
      </c>
      <c r="O26" s="32" t="n">
        <f aca="false">O8*O17</f>
        <v>1.34801193898681</v>
      </c>
      <c r="P26" s="32" t="n">
        <f aca="false">P8*P17</f>
        <v>1.37100264009362</v>
      </c>
      <c r="Q26" s="32" t="n">
        <f aca="false">Q8*Q17</f>
        <v>1.39261436293205</v>
      </c>
      <c r="R26" s="32" t="n">
        <f aca="false">R8*R17</f>
        <v>1.41247285730833</v>
      </c>
      <c r="S26" s="32" t="n">
        <f aca="false">S8*S17</f>
        <v>1.43025267067673</v>
      </c>
      <c r="T26" s="32" t="n">
        <f aca="false">T8*T17</f>
        <v>1.44613670390287</v>
      </c>
      <c r="U26" s="32" t="n">
        <f aca="false">U8*U17</f>
        <v>1.4602972910254</v>
      </c>
      <c r="V26" s="32" t="n">
        <f aca="false">V8*V17</f>
        <v>1.47288818854012</v>
      </c>
      <c r="W26" s="32" t="n">
        <f aca="false">W8*W17</f>
        <v>1.48405892656112</v>
      </c>
      <c r="X26" s="32" t="n">
        <f aca="false">X8*X17</f>
        <v>1.49395013603587</v>
      </c>
      <c r="Y26" s="32" t="n">
        <f aca="false">Y8*Y17</f>
        <v>1.50268397761612</v>
      </c>
      <c r="Z26" s="32" t="n">
        <f aca="false">Z8*Z17</f>
        <v>1.51038672875305</v>
      </c>
      <c r="AA26" s="32" t="n">
        <f aca="false">AA8*AA17</f>
        <v>1.51713512718624</v>
      </c>
      <c r="AB26" s="32" t="n">
        <f aca="false">AB8*AB17</f>
        <v>1.52303570655661</v>
      </c>
      <c r="AC26" s="32" t="n">
        <f aca="false">AC8*AC17</f>
        <v>1.52818730074512</v>
      </c>
      <c r="AD26" s="32" t="n">
        <f aca="false">AD8*AD17</f>
        <v>1.53268236290589</v>
      </c>
      <c r="AE26" s="32" t="n">
        <f aca="false">AE8*AE17</f>
        <v>1.53660655842979</v>
      </c>
      <c r="AF26" s="32" t="n">
        <f aca="false">AF8*AF17</f>
        <v>1.54003340496837</v>
      </c>
      <c r="AG26" s="32" t="n">
        <f aca="false">AG8*AG17</f>
        <v>1.55176934951052</v>
      </c>
    </row>
    <row r="27" customFormat="false" ht="15" hidden="false" customHeight="true" outlineLevel="0" collapsed="false">
      <c r="A27" s="1" t="s">
        <v>171</v>
      </c>
      <c r="B27" s="32" t="n">
        <f aca="false">B9*B18</f>
        <v>1</v>
      </c>
      <c r="C27" s="32" t="n">
        <f aca="false">C9*C18</f>
        <v>1.15</v>
      </c>
      <c r="D27" s="32" t="n">
        <f aca="false">D9*D18</f>
        <v>1.07450258019859</v>
      </c>
      <c r="E27" s="32" t="n">
        <f aca="false">E9*E18</f>
        <v>0.991840961428289</v>
      </c>
      <c r="F27" s="32" t="n">
        <f aca="false">F9*F18</f>
        <v>0.901982240419803</v>
      </c>
      <c r="G27" s="32" t="n">
        <f aca="false">G9*G18</f>
        <v>0.805</v>
      </c>
      <c r="H27" s="32" t="n">
        <f aca="false">H9*H18</f>
        <v>0.826497233598787</v>
      </c>
      <c r="I27" s="32" t="n">
        <f aca="false">I9*I18</f>
        <v>0.8475913524636</v>
      </c>
      <c r="J27" s="32" t="n">
        <f aca="false">J9*J18</f>
        <v>0.868458523648528</v>
      </c>
      <c r="K27" s="32" t="n">
        <f aca="false">K9*K18</f>
        <v>0.889112490073162</v>
      </c>
      <c r="L27" s="32" t="n">
        <f aca="false">L9*L18</f>
        <v>0.909560251760079</v>
      </c>
      <c r="M27" s="32" t="n">
        <f aca="false">M9*M18</f>
        <v>0.929822974268394</v>
      </c>
      <c r="N27" s="32" t="n">
        <f aca="false">N9*N18</f>
        <v>0.949991854852707</v>
      </c>
      <c r="O27" s="32" t="n">
        <f aca="false">O9*O18</f>
        <v>0.970122959652944</v>
      </c>
      <c r="P27" s="32" t="n">
        <f aca="false">P9*P18</f>
        <v>0.990323795734034</v>
      </c>
      <c r="Q27" s="32" t="n">
        <f aca="false">Q9*Q18</f>
        <v>1.01062981303325</v>
      </c>
      <c r="R27" s="32" t="n">
        <f aca="false">R9*R18</f>
        <v>1.03108732954683</v>
      </c>
      <c r="S27" s="32" t="n">
        <f aca="false">S9*S18</f>
        <v>1.05159669774293</v>
      </c>
      <c r="T27" s="32" t="n">
        <f aca="false">T9*T18</f>
        <v>1.07228502569348</v>
      </c>
      <c r="U27" s="32" t="n">
        <f aca="false">U9*U18</f>
        <v>1.09316947349766</v>
      </c>
      <c r="V27" s="32" t="n">
        <f aca="false">V9*V18</f>
        <v>1.11411322395186</v>
      </c>
      <c r="W27" s="32" t="n">
        <f aca="false">W9*W18</f>
        <v>1.13500427866169</v>
      </c>
      <c r="X27" s="32" t="n">
        <f aca="false">X9*X18</f>
        <v>1.15583969847593</v>
      </c>
      <c r="Y27" s="32" t="n">
        <f aca="false">Y9*Y18</f>
        <v>1.17658191657753</v>
      </c>
      <c r="Z27" s="32" t="n">
        <f aca="false">Z9*Z18</f>
        <v>1.19722891328977</v>
      </c>
      <c r="AA27" s="32" t="n">
        <f aca="false">AA9*AA18</f>
        <v>1.21776033283694</v>
      </c>
      <c r="AB27" s="32" t="n">
        <f aca="false">AB9*AB18</f>
        <v>1.2381318562975</v>
      </c>
      <c r="AC27" s="32" t="n">
        <f aca="false">AC9*AC18</f>
        <v>1.25833741241832</v>
      </c>
      <c r="AD27" s="32" t="n">
        <f aca="false">AD9*AD18</f>
        <v>1.2783748421544</v>
      </c>
      <c r="AE27" s="32" t="n">
        <f aca="false">AE9*AE18</f>
        <v>1.2982271326606</v>
      </c>
      <c r="AF27" s="32" t="n">
        <f aca="false">AF9*AF18</f>
        <v>1.31787520023932</v>
      </c>
      <c r="AG27" s="32" t="n">
        <f aca="false">AG9*AG18</f>
        <v>1.34446411685357</v>
      </c>
    </row>
    <row r="28" customFormat="false" ht="15" hidden="false" customHeight="true" outlineLevel="0" collapsed="false">
      <c r="A28" s="1" t="s">
        <v>21</v>
      </c>
      <c r="B28" s="32" t="n">
        <f aca="false">B10*B19</f>
        <v>1</v>
      </c>
      <c r="C28" s="32" t="n">
        <f aca="false">C10*C19</f>
        <v>1.15</v>
      </c>
      <c r="D28" s="32" t="n">
        <f aca="false">D10*D19</f>
        <v>1.14059442259623</v>
      </c>
      <c r="E28" s="32" t="n">
        <f aca="false">E10*E19</f>
        <v>1.12667834267719</v>
      </c>
      <c r="F28" s="32" t="n">
        <f aca="false">F10*F19</f>
        <v>1.10778421410829</v>
      </c>
      <c r="G28" s="32" t="n">
        <f aca="false">G10*G19</f>
        <v>1.08340671359548</v>
      </c>
      <c r="H28" s="32" t="n">
        <f aca="false">H10*H19</f>
        <v>1.053</v>
      </c>
      <c r="I28" s="32" t="n">
        <f aca="false">I10*I19</f>
        <v>1.10737395992388</v>
      </c>
      <c r="J28" s="32" t="n">
        <f aca="false">J10*J19</f>
        <v>1.16455563828821</v>
      </c>
      <c r="K28" s="32" t="n">
        <f aca="false">K10*K19</f>
        <v>1.22469001778053</v>
      </c>
      <c r="L28" s="32" t="n">
        <f aca="false">L10*L19</f>
        <v>1.28792956758677</v>
      </c>
      <c r="M28" s="32" t="n">
        <f aca="false">M10*M19</f>
        <v>1.35443462997304</v>
      </c>
      <c r="N28" s="32" t="n">
        <f aca="false">N10*N19</f>
        <v>1.40287807464314</v>
      </c>
      <c r="O28" s="32" t="n">
        <f aca="false">O10*O19</f>
        <v>1.45305417386856</v>
      </c>
      <c r="P28" s="32" t="n">
        <f aca="false">P10*P19</f>
        <v>1.50502489871325</v>
      </c>
      <c r="Q28" s="32" t="n">
        <f aca="false">Q10*Q19</f>
        <v>1.55885443673193</v>
      </c>
      <c r="R28" s="32" t="n">
        <f aca="false">R10*R19</f>
        <v>1.61460927124621</v>
      </c>
      <c r="S28" s="32" t="n">
        <f aca="false">S10*S19</f>
        <v>1.66741106090793</v>
      </c>
      <c r="T28" s="32" t="n">
        <f aca="false">T10*T19</f>
        <v>1.72193960207612</v>
      </c>
      <c r="U28" s="32" t="n">
        <f aca="false">U10*U19</f>
        <v>1.77825136387396</v>
      </c>
      <c r="V28" s="32" t="n">
        <f aca="false">V10*V19</f>
        <v>1.8364046621072</v>
      </c>
      <c r="W28" s="32" t="n">
        <f aca="false">W10*W19</f>
        <v>1.8964597196553</v>
      </c>
      <c r="X28" s="32" t="n">
        <f aca="false">X10*X19</f>
        <v>1.95298789654535</v>
      </c>
      <c r="Y28" s="32" t="n">
        <f aca="false">Y10*Y19</f>
        <v>2.01120102078724</v>
      </c>
      <c r="Z28" s="32" t="n">
        <f aca="false">Z10*Z19</f>
        <v>2.07114931596388</v>
      </c>
      <c r="AA28" s="32" t="n">
        <f aca="false">AA10*AA19</f>
        <v>2.13288450268315</v>
      </c>
      <c r="AB28" s="32" t="n">
        <f aca="false">AB10*AB19</f>
        <v>2.19645984320008</v>
      </c>
      <c r="AC28" s="32" t="n">
        <f aca="false">AC10*AC19</f>
        <v>2.25604520805555</v>
      </c>
      <c r="AD28" s="32" t="n">
        <f aca="false">AD10*AD19</f>
        <v>2.31724699932371</v>
      </c>
      <c r="AE28" s="32" t="n">
        <f aca="false">AE10*AE19</f>
        <v>2.38010906727474</v>
      </c>
      <c r="AF28" s="32" t="n">
        <f aca="false">AF10*AF19</f>
        <v>2.44467645174501</v>
      </c>
      <c r="AG28" s="32" t="n">
        <f aca="false">AG10*AG19</f>
        <v>2.51099541440747</v>
      </c>
    </row>
    <row r="29" customFormat="false" ht="15" hidden="false" customHeight="true" outlineLevel="0" collapsed="false">
      <c r="A29" s="1" t="s">
        <v>174</v>
      </c>
      <c r="B29" s="32" t="n">
        <f aca="false">B11*B20</f>
        <v>1</v>
      </c>
      <c r="C29" s="32" t="n">
        <f aca="false">C11*C20</f>
        <v>1.15</v>
      </c>
      <c r="D29" s="32" t="n">
        <f aca="false">D11*D20</f>
        <v>1.08395534290271</v>
      </c>
      <c r="E29" s="32" t="n">
        <f aca="false">E11*E20</f>
        <v>1.00007177033493</v>
      </c>
      <c r="F29" s="32" t="n">
        <f aca="false">F11*F20</f>
        <v>0.898349282296651</v>
      </c>
      <c r="G29" s="32" t="n">
        <f aca="false">G11*G20</f>
        <v>0.778787878787879</v>
      </c>
      <c r="H29" s="32" t="n">
        <f aca="false">H11*H20</f>
        <v>0.819776714513557</v>
      </c>
      <c r="I29" s="32" t="n">
        <f aca="false">I11*I20</f>
        <v>0.860765550239235</v>
      </c>
      <c r="J29" s="32" t="n">
        <f aca="false">J11*J20</f>
        <v>0.901754385964912</v>
      </c>
      <c r="K29" s="32" t="n">
        <f aca="false">K11*K20</f>
        <v>0.94274322169059</v>
      </c>
      <c r="L29" s="32" t="n">
        <f aca="false">L11*L20</f>
        <v>0.983732057416268</v>
      </c>
      <c r="M29" s="32" t="n">
        <f aca="false">M11*M20</f>
        <v>1.02472089314195</v>
      </c>
      <c r="N29" s="32" t="n">
        <f aca="false">N11*N20</f>
        <v>1.07595693779904</v>
      </c>
      <c r="O29" s="32" t="n">
        <f aca="false">O11*O20</f>
        <v>1.12719298245614</v>
      </c>
      <c r="P29" s="32" t="n">
        <f aca="false">P11*P20</f>
        <v>1.17842902711324</v>
      </c>
      <c r="Q29" s="32" t="n">
        <f aca="false">Q11*Q20</f>
        <v>1.22966507177033</v>
      </c>
      <c r="R29" s="32" t="n">
        <f aca="false">R11*R20</f>
        <v>1.28090111642743</v>
      </c>
      <c r="S29" s="32" t="n">
        <f aca="false">S11*S20</f>
        <v>1.33213716108453</v>
      </c>
      <c r="T29" s="32" t="n">
        <f aca="false">T11*T20</f>
        <v>1.38337320574163</v>
      </c>
      <c r="U29" s="32" t="n">
        <f aca="false">U11*U20</f>
        <v>1.43460925039872</v>
      </c>
      <c r="V29" s="32" t="n">
        <f aca="false">V11*V20</f>
        <v>1.48584529505582</v>
      </c>
      <c r="W29" s="32" t="n">
        <f aca="false">W11*W20</f>
        <v>1.53708133971292</v>
      </c>
      <c r="X29" s="32" t="n">
        <f aca="false">X11*X20</f>
        <v>1.56782296650718</v>
      </c>
      <c r="Y29" s="32" t="n">
        <f aca="false">Y11*Y20</f>
        <v>1.59856459330144</v>
      </c>
      <c r="Z29" s="32" t="n">
        <f aca="false">Z11*Z20</f>
        <v>1.62930622009569</v>
      </c>
      <c r="AA29" s="32" t="n">
        <f aca="false">AA11*AA20</f>
        <v>1.66004784688995</v>
      </c>
      <c r="AB29" s="32" t="n">
        <f aca="false">AB11*AB20</f>
        <v>1.69078947368421</v>
      </c>
      <c r="AC29" s="32" t="n">
        <f aca="false">AC11*AC20</f>
        <v>1.72153110047847</v>
      </c>
      <c r="AD29" s="32" t="n">
        <f aca="false">AD11*AD20</f>
        <v>1.75227272727273</v>
      </c>
      <c r="AE29" s="32" t="n">
        <f aca="false">AE11*AE20</f>
        <v>1.78301435406699</v>
      </c>
      <c r="AF29" s="32" t="n">
        <f aca="false">AF11*AF20</f>
        <v>1.81375598086124</v>
      </c>
      <c r="AG29" s="32" t="n">
        <f aca="false">AG11*AG20</f>
        <v>1.8444976076555</v>
      </c>
    </row>
    <row r="30" customFormat="false" ht="15" hidden="false" customHeight="true" outlineLevel="0" collapsed="false">
      <c r="A30" s="1" t="s">
        <v>20</v>
      </c>
      <c r="B30" s="32" t="n">
        <f aca="false">B12*B21</f>
        <v>1</v>
      </c>
      <c r="C30" s="32" t="n">
        <f aca="false">C12*C21</f>
        <v>1.15</v>
      </c>
      <c r="D30" s="32" t="n">
        <f aca="false">D12*D21</f>
        <v>1.05986857422103</v>
      </c>
      <c r="E30" s="32" t="n">
        <f aca="false">E12*E21</f>
        <v>0.967956078759352</v>
      </c>
      <c r="F30" s="32" t="n">
        <f aca="false">F12*F21</f>
        <v>0.874262513614969</v>
      </c>
      <c r="G30" s="32" t="n">
        <f aca="false">G12*G21</f>
        <v>0.778787878787879</v>
      </c>
      <c r="H30" s="32" t="n">
        <f aca="false">H12*H21</f>
        <v>0.785515213106677</v>
      </c>
      <c r="I30" s="32" t="n">
        <f aca="false">I12*I21</f>
        <v>0.792242547425474</v>
      </c>
      <c r="J30" s="32" t="n">
        <f aca="false">J12*J21</f>
        <v>0.798969881744272</v>
      </c>
      <c r="K30" s="32" t="n">
        <f aca="false">K12*K21</f>
        <v>0.80569721606307</v>
      </c>
      <c r="L30" s="32" t="n">
        <f aca="false">L12*L21</f>
        <v>0.812424550381868</v>
      </c>
      <c r="M30" s="32" t="n">
        <f aca="false">M12*M21</f>
        <v>0.819151884700665</v>
      </c>
      <c r="N30" s="32" t="n">
        <f aca="false">N12*N21</f>
        <v>0.820986612242156</v>
      </c>
      <c r="O30" s="32" t="n">
        <f aca="false">O12*O21</f>
        <v>0.822821339783646</v>
      </c>
      <c r="P30" s="32" t="n">
        <f aca="false">P12*P21</f>
        <v>0.824656067325136</v>
      </c>
      <c r="Q30" s="32" t="n">
        <f aca="false">Q12*Q21</f>
        <v>0.826490794866626</v>
      </c>
      <c r="R30" s="32" t="n">
        <f aca="false">R12*R21</f>
        <v>0.828325522408117</v>
      </c>
      <c r="S30" s="32" t="n">
        <f aca="false">S12*S21</f>
        <v>0.830160249949607</v>
      </c>
      <c r="T30" s="32" t="n">
        <f aca="false">T12*T21</f>
        <v>0.831994977491097</v>
      </c>
      <c r="U30" s="32" t="n">
        <f aca="false">U12*U21</f>
        <v>0.833829705032588</v>
      </c>
      <c r="V30" s="32" t="n">
        <f aca="false">V12*V21</f>
        <v>0.835664432574078</v>
      </c>
      <c r="W30" s="32" t="n">
        <f aca="false">W12*W21</f>
        <v>0.837499160115568</v>
      </c>
      <c r="X30" s="32" t="n">
        <f aca="false">X12*X21</f>
        <v>0.836851609218571</v>
      </c>
      <c r="Y30" s="32" t="n">
        <f aca="false">Y12*Y21</f>
        <v>0.836204058321575</v>
      </c>
      <c r="Z30" s="32" t="n">
        <f aca="false">Z12*Z21</f>
        <v>0.835556507424578</v>
      </c>
      <c r="AA30" s="32" t="n">
        <f aca="false">AA12*AA21</f>
        <v>0.834908956527582</v>
      </c>
      <c r="AB30" s="32" t="n">
        <f aca="false">AB12*AB21</f>
        <v>0.834261405630585</v>
      </c>
      <c r="AC30" s="32" t="n">
        <f aca="false">AC12*AC21</f>
        <v>0.833613854733589</v>
      </c>
      <c r="AD30" s="32" t="n">
        <f aca="false">AD12*AD21</f>
        <v>0.832966303836592</v>
      </c>
      <c r="AE30" s="32" t="n">
        <f aca="false">AE12*AE21</f>
        <v>0.832318752939596</v>
      </c>
      <c r="AF30" s="32" t="n">
        <f aca="false">AF12*AF21</f>
        <v>0.831671202042599</v>
      </c>
      <c r="AG30" s="32" t="n">
        <f aca="false">AG12*AG21</f>
        <v>0.831023651145602</v>
      </c>
    </row>
    <row r="31" customFormat="false" ht="15" hidden="false" customHeight="true" outlineLevel="0" collapsed="false">
      <c r="A31" s="1" t="s">
        <v>177</v>
      </c>
      <c r="B31" s="32" t="n">
        <f aca="false">B13*B22</f>
        <v>1</v>
      </c>
      <c r="C31" s="32" t="n">
        <f aca="false">C13*C22</f>
        <v>1.15</v>
      </c>
      <c r="D31" s="32" t="n">
        <f aca="false">D13*D22</f>
        <v>1.1411942254562</v>
      </c>
      <c r="E31" s="32" t="n">
        <f aca="false">E13*E22</f>
        <v>1.13050599789116</v>
      </c>
      <c r="F31" s="32" t="n">
        <f aca="false">F13*F22</f>
        <v>1.11720945038758</v>
      </c>
      <c r="G31" s="32" t="n">
        <f aca="false">G13*G22</f>
        <v>1.10028586536941</v>
      </c>
      <c r="H31" s="32" t="n">
        <f aca="false">H13*H22</f>
        <v>1.15780024618367</v>
      </c>
      <c r="I31" s="32" t="n">
        <f aca="false">I13*I22</f>
        <v>1.21146551821218</v>
      </c>
      <c r="J31" s="32" t="n">
        <f aca="false">J13*J22</f>
        <v>1.26160726724486</v>
      </c>
      <c r="K31" s="32" t="n">
        <f aca="false">K13*K22</f>
        <v>1.30844978340923</v>
      </c>
      <c r="L31" s="32" t="n">
        <f aca="false">L13*L22</f>
        <v>1.35220227915482</v>
      </c>
      <c r="M31" s="32" t="n">
        <f aca="false">M13*M22</f>
        <v>1.39306016820549</v>
      </c>
      <c r="N31" s="32" t="n">
        <f aca="false">N13*N22</f>
        <v>1.43132186710356</v>
      </c>
      <c r="O31" s="32" t="n">
        <f aca="false">O13*O22</f>
        <v>1.46725312251716</v>
      </c>
      <c r="P31" s="32" t="n">
        <f aca="false">P13*P22</f>
        <v>1.50106989440664</v>
      </c>
      <c r="Q31" s="32" t="n">
        <f aca="false">Q13*Q22</f>
        <v>1.53301783970277</v>
      </c>
      <c r="R31" s="32" t="n">
        <f aca="false">R13*R22</f>
        <v>1.56218133042805</v>
      </c>
      <c r="S31" s="32" t="n">
        <f aca="false">S13*S22</f>
        <v>1.58805218865976</v>
      </c>
      <c r="T31" s="32" t="n">
        <f aca="false">T13*T22</f>
        <v>1.61103842658803</v>
      </c>
      <c r="U31" s="32" t="n">
        <f aca="false">U13*U22</f>
        <v>1.63136269697963</v>
      </c>
      <c r="V31" s="32" t="n">
        <f aca="false">V13*V22</f>
        <v>1.64932803230057</v>
      </c>
      <c r="W31" s="32" t="n">
        <f aca="false">W13*W22</f>
        <v>1.66520369162188</v>
      </c>
      <c r="X31" s="32" t="n">
        <f aca="false">X13*X22</f>
        <v>1.67924301690622</v>
      </c>
      <c r="Y31" s="32" t="n">
        <f aca="false">Y13*Y22</f>
        <v>1.69167809838099</v>
      </c>
      <c r="Z31" s="32" t="n">
        <f aca="false">Z13*Z22</f>
        <v>1.70271342316316</v>
      </c>
      <c r="AA31" s="32" t="n">
        <f aca="false">AA13*AA22</f>
        <v>1.71254043796083</v>
      </c>
      <c r="AB31" s="32" t="n">
        <f aca="false">AB13*AB22</f>
        <v>1.72132610263889</v>
      </c>
      <c r="AC31" s="32" t="n">
        <f aca="false">AC13*AC22</f>
        <v>1.72923093136906</v>
      </c>
      <c r="AD31" s="32" t="n">
        <f aca="false">AD13*AD22</f>
        <v>1.73639843655754</v>
      </c>
      <c r="AE31" s="32" t="n">
        <f aca="false">AE13*AE22</f>
        <v>1.74295075248912</v>
      </c>
      <c r="AF31" s="32" t="n">
        <f aca="false">AF13*AF22</f>
        <v>1.74899428308994</v>
      </c>
      <c r="AG31" s="32" t="n">
        <f aca="false">AG13*AG22</f>
        <v>1.75461906999681</v>
      </c>
    </row>
    <row r="33" customFormat="false" ht="15" hidden="false" customHeight="true" outlineLevel="0" collapsed="false">
      <c r="A33" s="28" t="s">
        <v>200</v>
      </c>
    </row>
    <row r="34" customFormat="false" ht="15" hidden="false" customHeight="true" outlineLevel="0" collapsed="false">
      <c r="A34" s="28" t="s">
        <v>161</v>
      </c>
      <c r="B34" s="28" t="n">
        <v>2019</v>
      </c>
      <c r="C34" s="28" t="n">
        <v>2020</v>
      </c>
      <c r="D34" s="28" t="n">
        <v>2021</v>
      </c>
      <c r="E34" s="28" t="n">
        <v>2022</v>
      </c>
      <c r="F34" s="28" t="n">
        <v>2023</v>
      </c>
      <c r="G34" s="28" t="n">
        <v>2024</v>
      </c>
      <c r="H34" s="28" t="n">
        <v>2025</v>
      </c>
      <c r="I34" s="28" t="n">
        <v>2026</v>
      </c>
      <c r="J34" s="28" t="n">
        <v>2027</v>
      </c>
      <c r="K34" s="28" t="n">
        <v>2028</v>
      </c>
      <c r="L34" s="28" t="n">
        <v>2029</v>
      </c>
      <c r="M34" s="28" t="n">
        <v>2030</v>
      </c>
      <c r="N34" s="28" t="n">
        <v>2031</v>
      </c>
      <c r="O34" s="28" t="n">
        <v>2032</v>
      </c>
      <c r="P34" s="28" t="n">
        <v>2033</v>
      </c>
      <c r="Q34" s="28" t="n">
        <v>2034</v>
      </c>
      <c r="R34" s="28" t="n">
        <v>2035</v>
      </c>
      <c r="S34" s="28" t="n">
        <v>2036</v>
      </c>
      <c r="T34" s="28" t="n">
        <v>2037</v>
      </c>
      <c r="U34" s="28" t="n">
        <v>2038</v>
      </c>
      <c r="V34" s="28" t="n">
        <v>2039</v>
      </c>
      <c r="W34" s="28" t="n">
        <v>2040</v>
      </c>
      <c r="X34" s="28" t="n">
        <v>2041</v>
      </c>
      <c r="Y34" s="28" t="n">
        <v>2042</v>
      </c>
      <c r="Z34" s="28" t="n">
        <v>2043</v>
      </c>
      <c r="AA34" s="28" t="n">
        <v>2044</v>
      </c>
      <c r="AB34" s="28" t="n">
        <v>2045</v>
      </c>
      <c r="AC34" s="28" t="n">
        <v>2046</v>
      </c>
      <c r="AD34" s="28" t="n">
        <v>2047</v>
      </c>
      <c r="AE34" s="28" t="n">
        <v>2048</v>
      </c>
      <c r="AF34" s="28" t="n">
        <v>2049</v>
      </c>
      <c r="AG34" s="28" t="n">
        <v>2050</v>
      </c>
      <c r="AI34" s="28" t="s">
        <v>193</v>
      </c>
      <c r="AJ34" s="28" t="s">
        <v>194</v>
      </c>
      <c r="AK34" s="28" t="s">
        <v>195</v>
      </c>
      <c r="AL34" s="28" t="s">
        <v>196</v>
      </c>
      <c r="AM34" s="28" t="s">
        <v>197</v>
      </c>
    </row>
    <row r="35" customFormat="false" ht="15" hidden="false" customHeight="true" outlineLevel="0" collapsed="false">
      <c r="A35" s="1" t="s">
        <v>168</v>
      </c>
      <c r="B35" s="36" t="n">
        <f aca="false">'frgt-Road'!I17</f>
        <v>1</v>
      </c>
      <c r="C35" s="36" t="n">
        <f aca="false">'frgt-Road'!I18</f>
        <v>1.03906481007692</v>
      </c>
      <c r="D35" s="36" t="n">
        <f aca="false">'frgt-Road'!I19</f>
        <v>1.06450139679297</v>
      </c>
      <c r="E35" s="36" t="n">
        <f aca="false">'frgt-Road'!I20</f>
        <v>1.07705341376675</v>
      </c>
      <c r="F35" s="36" t="n">
        <f aca="false">'frgt-Road'!I21</f>
        <v>1.08903427893142</v>
      </c>
      <c r="G35" s="36" t="n">
        <f aca="false">'frgt-Road'!I22</f>
        <v>1.10050331871769</v>
      </c>
      <c r="H35" s="36" t="n">
        <f aca="false">'frgt-Road'!I23</f>
        <v>1.11150312073278</v>
      </c>
      <c r="I35" s="36" t="n">
        <f aca="false">'frgt-Road'!I24</f>
        <v>1.12359118698896</v>
      </c>
      <c r="J35" s="36" t="n">
        <f aca="false">'frgt-Road'!I25</f>
        <v>1.13829847783608</v>
      </c>
      <c r="K35" s="36" t="n">
        <f aca="false">'frgt-Road'!I26</f>
        <v>1.15582815564475</v>
      </c>
      <c r="L35" s="36" t="n">
        <f aca="false">'frgt-Road'!I27</f>
        <v>1.1764096189576</v>
      </c>
      <c r="M35" s="36" t="n">
        <f aca="false">'frgt-Road'!I28</f>
        <v>1.20030339440944</v>
      </c>
      <c r="N35" s="36" t="n">
        <f aca="false">'frgt-Road'!I29</f>
        <v>1.22777014443479</v>
      </c>
      <c r="O35" s="36" t="n">
        <f aca="false">'frgt-Road'!I30</f>
        <v>1.25760477951277</v>
      </c>
      <c r="P35" s="36" t="n">
        <f aca="false">'frgt-Road'!I31</f>
        <v>1.28788876566827</v>
      </c>
      <c r="Q35" s="36" t="n">
        <f aca="false">'frgt-Road'!I32</f>
        <v>1.31804387685869</v>
      </c>
      <c r="R35" s="36" t="n">
        <f aca="false">'frgt-Road'!I33</f>
        <v>1.34805992353809</v>
      </c>
      <c r="S35" s="36" t="n">
        <f aca="false">'frgt-Road'!I34</f>
        <v>1.37750201818862</v>
      </c>
      <c r="T35" s="36" t="n">
        <f aca="false">'frgt-Road'!I35</f>
        <v>1.40638647677523</v>
      </c>
      <c r="U35" s="36" t="n">
        <f aca="false">'frgt-Road'!I36</f>
        <v>1.43510103201537</v>
      </c>
      <c r="V35" s="36" t="n">
        <f aca="false">'frgt-Road'!I37</f>
        <v>1.46357611409886</v>
      </c>
      <c r="W35" s="36" t="n">
        <f aca="false">'frgt-Road'!I38</f>
        <v>1.49176243944879</v>
      </c>
      <c r="X35" s="36" t="n">
        <f aca="false">'frgt-Road'!I39</f>
        <v>1.52216942691871</v>
      </c>
      <c r="Y35" s="36" t="n">
        <f aca="false">'frgt-Road'!I40</f>
        <v>1.55730849371426</v>
      </c>
      <c r="Z35" s="36" t="n">
        <f aca="false">'frgt-Road'!I41</f>
        <v>1.59570993864483</v>
      </c>
      <c r="AA35" s="36" t="n">
        <f aca="false">'frgt-Road'!I42</f>
        <v>1.63466934835121</v>
      </c>
      <c r="AB35" s="36" t="n">
        <f aca="false">'frgt-Road'!I43</f>
        <v>1.6730167767301</v>
      </c>
      <c r="AC35" s="36" t="n">
        <f aca="false">'frgt-Road'!I44</f>
        <v>1.70040161548669</v>
      </c>
      <c r="AD35" s="36" t="n">
        <f aca="false">'frgt-Road'!I45</f>
        <v>1.71737189688931</v>
      </c>
      <c r="AE35" s="36" t="n">
        <f aca="false">'frgt-Road'!I46</f>
        <v>1.7340561831989</v>
      </c>
      <c r="AF35" s="36" t="n">
        <f aca="false">'frgt-Road'!I47</f>
        <v>1.75051226833687</v>
      </c>
      <c r="AG35" s="36" t="n">
        <f aca="false">'frgt-Road'!I48</f>
        <v>1.76679778431669</v>
      </c>
      <c r="AI35" s="36" t="n">
        <f aca="false">'Evidence 2019-2025'!G53</f>
        <v>1.15</v>
      </c>
      <c r="AJ35" s="36" t="n">
        <f aca="false">'Evidence 2019-2025'!D53</f>
        <v>2024</v>
      </c>
      <c r="AK35" s="36" t="n">
        <f aca="false">'Evidence 2019-2025'!E53</f>
        <v>1.17368627109796</v>
      </c>
      <c r="AL35" s="32" t="n">
        <f aca="false">IF($C35=0,1,AI35/$C35)</f>
        <v>1.10676445669916</v>
      </c>
      <c r="AM35" s="32" t="n">
        <f aca="false">IF(INDEX($B35:$AG35,1,AJ35-2018)=0,1,AK35/INDEX($B35:$AG35,1,AJ35-2018))</f>
        <v>1.06649952902054</v>
      </c>
    </row>
    <row r="36" customFormat="false" ht="15" hidden="false" customHeight="true" outlineLevel="0" collapsed="false">
      <c r="A36" s="1" t="s">
        <v>171</v>
      </c>
      <c r="B36" s="36" t="n">
        <f aca="false">'frgt-Road'!J17</f>
        <v>1</v>
      </c>
      <c r="C36" s="36" t="n">
        <f aca="false">'frgt-Road'!J18</f>
        <v>1.01694895841319</v>
      </c>
      <c r="D36" s="36" t="n">
        <f aca="false">'frgt-Road'!J19</f>
        <v>1.02401495911793</v>
      </c>
      <c r="E36" s="36" t="n">
        <f aca="false">'frgt-Road'!J20</f>
        <v>1.02610855394301</v>
      </c>
      <c r="F36" s="36" t="n">
        <f aca="false">'frgt-Road'!J21</f>
        <v>1.02906953416156</v>
      </c>
      <c r="G36" s="36" t="n">
        <f aca="false">'frgt-Road'!J22</f>
        <v>1.0319424868692</v>
      </c>
      <c r="H36" s="36" t="n">
        <f aca="false">'frgt-Road'!J23</f>
        <v>1.03867277060682</v>
      </c>
      <c r="I36" s="36" t="n">
        <f aca="false">'frgt-Road'!J24</f>
        <v>1.04607081480224</v>
      </c>
      <c r="J36" s="36" t="n">
        <f aca="false">'frgt-Road'!J25</f>
        <v>1.0560949282697</v>
      </c>
      <c r="K36" s="36" t="n">
        <f aca="false">'frgt-Road'!J26</f>
        <v>1.06889799166694</v>
      </c>
      <c r="L36" s="36" t="n">
        <f aca="false">'frgt-Road'!J27</f>
        <v>1.08410957796016</v>
      </c>
      <c r="M36" s="36" t="n">
        <f aca="false">'frgt-Road'!J28</f>
        <v>1.09808063976571</v>
      </c>
      <c r="N36" s="36" t="n">
        <f aca="false">'frgt-Road'!J29</f>
        <v>1.11899929798033</v>
      </c>
      <c r="O36" s="36" t="n">
        <f aca="false">'frgt-Road'!J30</f>
        <v>1.14151113679081</v>
      </c>
      <c r="P36" s="36" t="n">
        <f aca="false">'frgt-Road'!J31</f>
        <v>1.16433532144978</v>
      </c>
      <c r="Q36" s="36" t="n">
        <f aca="false">'frgt-Road'!J32</f>
        <v>1.18690555263524</v>
      </c>
      <c r="R36" s="36" t="n">
        <f aca="false">'frgt-Road'!J33</f>
        <v>1.20454005487883</v>
      </c>
      <c r="S36" s="36" t="n">
        <f aca="false">'frgt-Road'!J34</f>
        <v>1.22608495491322</v>
      </c>
      <c r="T36" s="36" t="n">
        <f aca="false">'frgt-Road'!J35</f>
        <v>1.24725210313603</v>
      </c>
      <c r="U36" s="36" t="n">
        <f aca="false">'frgt-Road'!J36</f>
        <v>1.26829903700995</v>
      </c>
      <c r="V36" s="36" t="n">
        <f aca="false">'frgt-Road'!J37</f>
        <v>1.28921326910741</v>
      </c>
      <c r="W36" s="36" t="n">
        <f aca="false">'frgt-Road'!J38</f>
        <v>1.30495473999024</v>
      </c>
      <c r="X36" s="36" t="n">
        <f aca="false">'frgt-Road'!J39</f>
        <v>1.32938794312797</v>
      </c>
      <c r="Y36" s="36" t="n">
        <f aca="false">'frgt-Road'!J40</f>
        <v>1.35750163936529</v>
      </c>
      <c r="Z36" s="36" t="n">
        <f aca="false">'frgt-Road'!J41</f>
        <v>1.38826431552922</v>
      </c>
      <c r="AA36" s="36" t="n">
        <f aca="false">'frgt-Road'!J42</f>
        <v>1.41948766794816</v>
      </c>
      <c r="AB36" s="36" t="n">
        <f aca="false">'frgt-Road'!J43</f>
        <v>1.43901831981112</v>
      </c>
      <c r="AC36" s="36" t="n">
        <f aca="false">'frgt-Road'!J44</f>
        <v>1.46185320044563</v>
      </c>
      <c r="AD36" s="36" t="n">
        <f aca="false">'frgt-Road'!J45</f>
        <v>1.47741585468552</v>
      </c>
      <c r="AE36" s="36" t="n">
        <f aca="false">'frgt-Road'!J46</f>
        <v>1.49289837697066</v>
      </c>
      <c r="AF36" s="36" t="n">
        <f aca="false">'frgt-Road'!J47</f>
        <v>1.50877589793284</v>
      </c>
      <c r="AG36" s="36" t="n">
        <f aca="false">'frgt-Road'!J48</f>
        <v>1.51277696361586</v>
      </c>
      <c r="AI36" s="36" t="n">
        <f aca="false">'Evidence 2019-2025'!G54</f>
        <v>1.15</v>
      </c>
      <c r="AJ36" s="36" t="n">
        <f aca="false">'Evidence 2019-2025'!D54</f>
        <v>2024</v>
      </c>
      <c r="AK36" s="36" t="n">
        <f aca="false">'Evidence 2019-2025'!E54</f>
        <v>1.17368627109796</v>
      </c>
      <c r="AL36" s="32" t="n">
        <f aca="false">IF($C36=0,1,AI36/$C36)</f>
        <v>1.13083354920233</v>
      </c>
      <c r="AM36" s="32" t="n">
        <f aca="false">IF(INDEX($B36:$AG36,1,AJ36-2018)=0,1,AK36/INDEX($B36:$AG36,1,AJ36-2018))</f>
        <v>1.13735628296379</v>
      </c>
    </row>
    <row r="37" customFormat="false" ht="15" hidden="false" customHeight="true" outlineLevel="0" collapsed="false">
      <c r="A37" s="1" t="s">
        <v>21</v>
      </c>
      <c r="B37" s="36" t="n">
        <f aca="false">'frgt-Air'!H10</f>
        <v>1</v>
      </c>
      <c r="C37" s="36" t="n">
        <f aca="false">'frgt-Air'!I10</f>
        <v>1.00889543169467</v>
      </c>
      <c r="D37" s="36" t="n">
        <f aca="false">'frgt-Air'!J10</f>
        <v>0.999182497298483</v>
      </c>
      <c r="E37" s="36" t="n">
        <f aca="false">'frgt-Air'!K10</f>
        <v>0.989469562902292</v>
      </c>
      <c r="F37" s="36" t="n">
        <f aca="false">'frgt-Air'!L10</f>
        <v>0.9797566285061</v>
      </c>
      <c r="G37" s="36" t="n">
        <f aca="false">'frgt-Air'!M10</f>
        <v>0.970043694109909</v>
      </c>
      <c r="H37" s="36" t="n">
        <f aca="false">'frgt-Air'!N10</f>
        <v>0.960330759713718</v>
      </c>
      <c r="I37" s="36" t="n">
        <f aca="false">'frgt-Air'!O10</f>
        <v>0.950617825317527</v>
      </c>
      <c r="J37" s="36" t="n">
        <f aca="false">'frgt-Air'!P10</f>
        <v>0.940904890921335</v>
      </c>
      <c r="K37" s="36" t="n">
        <f aca="false">'frgt-Air'!Q10</f>
        <v>0.931191956525144</v>
      </c>
      <c r="L37" s="36" t="n">
        <f aca="false">'frgt-Air'!R10</f>
        <v>0.921479022128953</v>
      </c>
      <c r="M37" s="36" t="n">
        <f aca="false">'frgt-Air'!S10</f>
        <v>0.911766087732762</v>
      </c>
      <c r="N37" s="36" t="n">
        <f aca="false">'frgt-Air'!T10</f>
        <v>0.925535213693954</v>
      </c>
      <c r="O37" s="36" t="n">
        <f aca="false">'frgt-Air'!U10</f>
        <v>0.939304339655146</v>
      </c>
      <c r="P37" s="36" t="n">
        <f aca="false">'frgt-Air'!V10</f>
        <v>0.953073465616338</v>
      </c>
      <c r="Q37" s="36" t="n">
        <f aca="false">'frgt-Air'!W10</f>
        <v>0.96684259157753</v>
      </c>
      <c r="R37" s="36" t="n">
        <f aca="false">'frgt-Air'!X10</f>
        <v>0.980611717538722</v>
      </c>
      <c r="S37" s="36" t="n">
        <f aca="false">'frgt-Air'!Y10</f>
        <v>0.994380843499914</v>
      </c>
      <c r="T37" s="36" t="n">
        <f aca="false">'frgt-Air'!Z10</f>
        <v>1.00814996946111</v>
      </c>
      <c r="U37" s="36" t="n">
        <f aca="false">'frgt-Air'!AA10</f>
        <v>1.0219190954223</v>
      </c>
      <c r="V37" s="36" t="n">
        <f aca="false">'frgt-Air'!AB10</f>
        <v>1.03568822138349</v>
      </c>
      <c r="W37" s="36" t="n">
        <f aca="false">'frgt-Air'!AC10</f>
        <v>1.04945734734468</v>
      </c>
      <c r="X37" s="36" t="n">
        <f aca="false">'frgt-Air'!AD10</f>
        <v>1.07591029395643</v>
      </c>
      <c r="Y37" s="36" t="n">
        <f aca="false">'frgt-Air'!AE10</f>
        <v>1.10236324056818</v>
      </c>
      <c r="Z37" s="36" t="n">
        <f aca="false">'frgt-Air'!AF10</f>
        <v>1.12881618717993</v>
      </c>
      <c r="AA37" s="36" t="n">
        <f aca="false">'frgt-Air'!AG10</f>
        <v>1.15526913379168</v>
      </c>
      <c r="AB37" s="36" t="n">
        <f aca="false">'frgt-Air'!AH10</f>
        <v>1.18172208040343</v>
      </c>
      <c r="AC37" s="36" t="n">
        <f aca="false">'frgt-Air'!AI10</f>
        <v>1.20817502701518</v>
      </c>
      <c r="AD37" s="36" t="n">
        <f aca="false">'frgt-Air'!AJ10</f>
        <v>1.23462797362692</v>
      </c>
      <c r="AE37" s="36" t="n">
        <f aca="false">'frgt-Air'!AK10</f>
        <v>1.26108092023867</v>
      </c>
      <c r="AF37" s="36" t="n">
        <f aca="false">'frgt-Air'!AL10</f>
        <v>1.28753386685042</v>
      </c>
      <c r="AG37" s="36" t="n">
        <f aca="false">'frgt-Air'!AM10</f>
        <v>1.31398681346217</v>
      </c>
      <c r="AI37" s="36" t="n">
        <f aca="false">'Evidence 2019-2025'!G55</f>
        <v>1.15</v>
      </c>
      <c r="AJ37" s="36" t="n">
        <f aca="false">'Evidence 2019-2025'!D55</f>
        <v>2024</v>
      </c>
      <c r="AK37" s="36" t="n">
        <f aca="false">'Evidence 2019-2025'!E55</f>
        <v>1.07846799696706</v>
      </c>
      <c r="AL37" s="32" t="n">
        <f aca="false">IF($C37=0,1,AI37/$C37)</f>
        <v>1.13986044923239</v>
      </c>
      <c r="AM37" s="32" t="n">
        <f aca="false">IF(INDEX($B37:$AG37,1,AJ37-2018)=0,1,AK37/INDEX($B37:$AG37,1,AJ37-2018))</f>
        <v>1.11177259696187</v>
      </c>
    </row>
    <row r="38" customFormat="false" ht="15" hidden="false" customHeight="true" outlineLevel="0" collapsed="false">
      <c r="A38" s="1" t="s">
        <v>174</v>
      </c>
      <c r="B38" s="36" t="n">
        <f aca="false">'frgt-Rail'!H10</f>
        <v>1</v>
      </c>
      <c r="C38" s="36" t="n">
        <f aca="false">'frgt-Rail'!I10</f>
        <v>1.03983074603936</v>
      </c>
      <c r="D38" s="36" t="n">
        <f aca="false">'frgt-Rail'!J10</f>
        <v>1.08573715548361</v>
      </c>
      <c r="E38" s="36" t="n">
        <f aca="false">'frgt-Rail'!K10</f>
        <v>1.13164356492786</v>
      </c>
      <c r="F38" s="36" t="n">
        <f aca="false">'frgt-Rail'!L10</f>
        <v>1.17754997437212</v>
      </c>
      <c r="G38" s="36" t="n">
        <f aca="false">'frgt-Rail'!M10</f>
        <v>1.22345638381637</v>
      </c>
      <c r="H38" s="36" t="n">
        <f aca="false">'frgt-Rail'!N10</f>
        <v>1.26936279326062</v>
      </c>
      <c r="I38" s="36" t="n">
        <f aca="false">'frgt-Rail'!O10</f>
        <v>1.31526920270488</v>
      </c>
      <c r="J38" s="36" t="n">
        <f aca="false">'frgt-Rail'!P10</f>
        <v>1.36117561214913</v>
      </c>
      <c r="K38" s="36" t="n">
        <f aca="false">'frgt-Rail'!Q10</f>
        <v>1.40708202159338</v>
      </c>
      <c r="L38" s="36" t="n">
        <f aca="false">'frgt-Rail'!R10</f>
        <v>1.45298843103763</v>
      </c>
      <c r="M38" s="36" t="n">
        <f aca="false">'frgt-Rail'!S10</f>
        <v>1.49889484048189</v>
      </c>
      <c r="N38" s="36" t="n">
        <f aca="false">'frgt-Rail'!T10</f>
        <v>1.57606530919045</v>
      </c>
      <c r="O38" s="36" t="n">
        <f aca="false">'frgt-Rail'!U10</f>
        <v>1.65323577789901</v>
      </c>
      <c r="P38" s="36" t="n">
        <f aca="false">'frgt-Rail'!V10</f>
        <v>1.73040624660757</v>
      </c>
      <c r="Q38" s="36" t="n">
        <f aca="false">'frgt-Rail'!W10</f>
        <v>1.80757671531613</v>
      </c>
      <c r="R38" s="36" t="n">
        <f aca="false">'frgt-Rail'!X10</f>
        <v>1.88474718402469</v>
      </c>
      <c r="S38" s="36" t="n">
        <f aca="false">'frgt-Rail'!Y10</f>
        <v>1.96191765273325</v>
      </c>
      <c r="T38" s="36" t="n">
        <f aca="false">'frgt-Rail'!Z10</f>
        <v>2.03908812144181</v>
      </c>
      <c r="U38" s="36" t="n">
        <f aca="false">'frgt-Rail'!AA10</f>
        <v>2.11625859015037</v>
      </c>
      <c r="V38" s="36" t="n">
        <f aca="false">'frgt-Rail'!AB10</f>
        <v>2.19342905885894</v>
      </c>
      <c r="W38" s="36" t="n">
        <f aca="false">'frgt-Rail'!AC10</f>
        <v>2.2705995275675</v>
      </c>
      <c r="X38" s="36" t="n">
        <f aca="false">'frgt-Rail'!AD10</f>
        <v>2.38596169146777</v>
      </c>
      <c r="Y38" s="36" t="n">
        <f aca="false">'frgt-Rail'!AE10</f>
        <v>2.50132385536805</v>
      </c>
      <c r="Z38" s="36" t="n">
        <f aca="false">'frgt-Rail'!AF10</f>
        <v>2.61668601926832</v>
      </c>
      <c r="AA38" s="36" t="n">
        <f aca="false">'frgt-Rail'!AG10</f>
        <v>2.7320481831686</v>
      </c>
      <c r="AB38" s="36" t="n">
        <f aca="false">'frgt-Rail'!AH10</f>
        <v>2.84741034706887</v>
      </c>
      <c r="AC38" s="36" t="n">
        <f aca="false">'frgt-Rail'!AI10</f>
        <v>2.96277251096915</v>
      </c>
      <c r="AD38" s="36" t="n">
        <f aca="false">'frgt-Rail'!AJ10</f>
        <v>3.07813467486942</v>
      </c>
      <c r="AE38" s="36" t="n">
        <f aca="false">'frgt-Rail'!AK10</f>
        <v>3.1934968387697</v>
      </c>
      <c r="AF38" s="36" t="n">
        <f aca="false">'frgt-Rail'!AL10</f>
        <v>3.30885900266997</v>
      </c>
      <c r="AG38" s="36" t="n">
        <f aca="false">'frgt-Rail'!AM10</f>
        <v>3.42422116657025</v>
      </c>
      <c r="AI38" s="36" t="n">
        <f aca="false">'Evidence 2019-2025'!G56</f>
        <v>1.15</v>
      </c>
      <c r="AJ38" s="36" t="n">
        <f aca="false">'Evidence 2019-2025'!D56</f>
        <v>2022</v>
      </c>
      <c r="AK38" s="36" t="n">
        <f aca="false">'Evidence 2019-2025'!E56</f>
        <v>1.01393442622951</v>
      </c>
      <c r="AL38" s="32" t="n">
        <f aca="false">IF($C38=0,1,AI38/$C38)</f>
        <v>1.10594921758206</v>
      </c>
      <c r="AM38" s="32" t="n">
        <f aca="false">IF(INDEX($B38:$AG38,1,AJ38-2018)=0,1,AK38/INDEX($B38:$AG38,1,AJ38-2018))</f>
        <v>0.89598391017594</v>
      </c>
    </row>
    <row r="39" customFormat="false" ht="15" hidden="false" customHeight="true" outlineLevel="0" collapsed="false">
      <c r="A39" s="1" t="s">
        <v>20</v>
      </c>
      <c r="B39" s="36" t="n">
        <f aca="false">'frgt-Ship'!H10</f>
        <v>1</v>
      </c>
      <c r="C39" s="36" t="n">
        <f aca="false">'frgt-Ship'!I10</f>
        <v>1.03892595395791</v>
      </c>
      <c r="D39" s="36" t="n">
        <f aca="false">'frgt-Ship'!J10</f>
        <v>1.08325532161317</v>
      </c>
      <c r="E39" s="36" t="n">
        <f aca="false">'frgt-Ship'!K10</f>
        <v>1.12758468926843</v>
      </c>
      <c r="F39" s="36" t="n">
        <f aca="false">'frgt-Ship'!L10</f>
        <v>1.17191405692369</v>
      </c>
      <c r="G39" s="36" t="n">
        <f aca="false">'frgt-Ship'!M10</f>
        <v>1.21624342457894</v>
      </c>
      <c r="H39" s="36" t="n">
        <f aca="false">'frgt-Ship'!N10</f>
        <v>1.2605727922342</v>
      </c>
      <c r="I39" s="36" t="n">
        <f aca="false">'frgt-Ship'!O10</f>
        <v>1.30490215988946</v>
      </c>
      <c r="J39" s="36" t="n">
        <f aca="false">'frgt-Ship'!P10</f>
        <v>1.34923152754472</v>
      </c>
      <c r="K39" s="36" t="n">
        <f aca="false">'frgt-Ship'!Q10</f>
        <v>1.39356089519998</v>
      </c>
      <c r="L39" s="36" t="n">
        <f aca="false">'frgt-Ship'!R10</f>
        <v>1.43789026285523</v>
      </c>
      <c r="M39" s="36" t="n">
        <f aca="false">'frgt-Ship'!S10</f>
        <v>1.48221963051049</v>
      </c>
      <c r="N39" s="36" t="n">
        <f aca="false">'frgt-Ship'!T10</f>
        <v>1.51402713396486</v>
      </c>
      <c r="O39" s="36" t="n">
        <f aca="false">'frgt-Ship'!U10</f>
        <v>1.54583463741923</v>
      </c>
      <c r="P39" s="36" t="n">
        <f aca="false">'frgt-Ship'!V10</f>
        <v>1.5776421408736</v>
      </c>
      <c r="Q39" s="36" t="n">
        <f aca="false">'frgt-Ship'!W10</f>
        <v>1.60944964432797</v>
      </c>
      <c r="R39" s="36" t="n">
        <f aca="false">'frgt-Ship'!X10</f>
        <v>1.64125714778233</v>
      </c>
      <c r="S39" s="36" t="n">
        <f aca="false">'frgt-Ship'!Y10</f>
        <v>1.6730646512367</v>
      </c>
      <c r="T39" s="36" t="n">
        <f aca="false">'frgt-Ship'!Z10</f>
        <v>1.70487215469107</v>
      </c>
      <c r="U39" s="36" t="n">
        <f aca="false">'frgt-Ship'!AA10</f>
        <v>1.73667965814544</v>
      </c>
      <c r="V39" s="36" t="n">
        <f aca="false">'frgt-Ship'!AB10</f>
        <v>1.76848716159981</v>
      </c>
      <c r="W39" s="36" t="n">
        <f aca="false">'frgt-Ship'!AC10</f>
        <v>1.80029466505418</v>
      </c>
      <c r="X39" s="36" t="n">
        <f aca="false">'frgt-Ship'!AD10</f>
        <v>1.81392402813055</v>
      </c>
      <c r="Y39" s="36" t="n">
        <f aca="false">'frgt-Ship'!AE10</f>
        <v>1.82755339120691</v>
      </c>
      <c r="Z39" s="36" t="n">
        <f aca="false">'frgt-Ship'!AF10</f>
        <v>1.84118275428328</v>
      </c>
      <c r="AA39" s="36" t="n">
        <f aca="false">'frgt-Ship'!AG10</f>
        <v>1.85481211735965</v>
      </c>
      <c r="AB39" s="36" t="n">
        <f aca="false">'frgt-Ship'!AH10</f>
        <v>1.86844148043602</v>
      </c>
      <c r="AC39" s="36" t="n">
        <f aca="false">'frgt-Ship'!AI10</f>
        <v>1.88207084351239</v>
      </c>
      <c r="AD39" s="36" t="n">
        <f aca="false">'frgt-Ship'!AJ10</f>
        <v>1.89570020658875</v>
      </c>
      <c r="AE39" s="36" t="n">
        <f aca="false">'frgt-Ship'!AK10</f>
        <v>1.90932956966512</v>
      </c>
      <c r="AF39" s="36" t="n">
        <f aca="false">'frgt-Ship'!AL10</f>
        <v>1.92295893274149</v>
      </c>
      <c r="AG39" s="36" t="n">
        <f aca="false">'frgt-Ship'!AM10</f>
        <v>1.93658829581786</v>
      </c>
      <c r="AI39" s="36" t="n">
        <f aca="false">'Evidence 2019-2025'!G57</f>
        <v>1.15</v>
      </c>
      <c r="AJ39" s="36" t="n">
        <f aca="false">'Evidence 2019-2025'!D57</f>
        <v>2024</v>
      </c>
      <c r="AK39" s="36" t="n">
        <f aca="false">'Evidence 2019-2025'!E57</f>
        <v>1.19499565595135</v>
      </c>
      <c r="AL39" s="32" t="n">
        <f aca="false">IF($C39=0,1,AI39/$C39)</f>
        <v>1.10691237967339</v>
      </c>
      <c r="AM39" s="32" t="n">
        <f aca="false">IF(INDEX($B39:$AG39,1,AJ39-2018)=0,1,AK39/INDEX($B39:$AG39,1,AJ39-2018))</f>
        <v>0.982530003288649</v>
      </c>
    </row>
    <row r="40" customFormat="false" ht="15" hidden="false" customHeight="true" outlineLevel="0" collapsed="false">
      <c r="A40" s="1" t="s">
        <v>177</v>
      </c>
      <c r="B40" s="37" t="n">
        <v>0</v>
      </c>
      <c r="C40" s="37" t="n">
        <v>0</v>
      </c>
      <c r="D40" s="37" t="n">
        <v>0</v>
      </c>
      <c r="E40" s="37" t="n">
        <v>0</v>
      </c>
      <c r="F40" s="37" t="n">
        <v>0</v>
      </c>
      <c r="G40" s="37" t="n">
        <v>0</v>
      </c>
      <c r="H40" s="37" t="n">
        <v>0</v>
      </c>
      <c r="I40" s="37" t="n">
        <v>0</v>
      </c>
      <c r="J40" s="37" t="n">
        <v>0</v>
      </c>
      <c r="K40" s="37" t="n">
        <v>0</v>
      </c>
      <c r="L40" s="37" t="n">
        <v>0</v>
      </c>
      <c r="M40" s="37" t="n">
        <v>0</v>
      </c>
      <c r="N40" s="37" t="n">
        <v>0</v>
      </c>
      <c r="O40" s="37" t="n">
        <v>0</v>
      </c>
      <c r="P40" s="37" t="n">
        <v>0</v>
      </c>
      <c r="Q40" s="37" t="n">
        <v>0</v>
      </c>
      <c r="R40" s="37" t="n">
        <v>0</v>
      </c>
      <c r="S40" s="37" t="n">
        <v>0</v>
      </c>
      <c r="T40" s="37" t="n">
        <v>0</v>
      </c>
      <c r="U40" s="37" t="n">
        <v>0</v>
      </c>
      <c r="V40" s="37" t="n">
        <v>0</v>
      </c>
      <c r="W40" s="37" t="n">
        <v>0</v>
      </c>
      <c r="X40" s="37" t="n">
        <v>0</v>
      </c>
      <c r="Y40" s="37" t="n">
        <v>0</v>
      </c>
      <c r="Z40" s="37" t="n">
        <v>0</v>
      </c>
      <c r="AA40" s="37" t="n">
        <v>0</v>
      </c>
      <c r="AB40" s="37" t="n">
        <v>0</v>
      </c>
      <c r="AC40" s="37" t="n">
        <v>0</v>
      </c>
      <c r="AD40" s="37" t="n">
        <v>0</v>
      </c>
      <c r="AE40" s="37" t="n">
        <v>0</v>
      </c>
      <c r="AF40" s="37" t="n">
        <v>0</v>
      </c>
      <c r="AG40" s="37" t="n">
        <v>0</v>
      </c>
      <c r="AI40" s="36" t="n">
        <f aca="false">'Evidence 2019-2025'!G58</f>
        <v>0</v>
      </c>
      <c r="AJ40" s="36" t="n">
        <f aca="false">'Evidence 2019-2025'!D58</f>
        <v>2024</v>
      </c>
      <c r="AK40" s="36" t="n">
        <f aca="false">'Evidence 2019-2025'!E58</f>
        <v>0</v>
      </c>
      <c r="AL40" s="32" t="n">
        <f aca="false">IF($C40=0,1,AI40/$C40)</f>
        <v>1</v>
      </c>
      <c r="AM40" s="32" t="n">
        <f aca="false">IF(INDEX($B40:$AG40,1,AJ40-2018)=0,1,AK40/INDEX($B40:$AG40,1,AJ40-2018))</f>
        <v>1</v>
      </c>
    </row>
    <row r="42" customFormat="false" ht="15" hidden="false" customHeight="true" outlineLevel="0" collapsed="false">
      <c r="A42" s="28" t="s">
        <v>201</v>
      </c>
    </row>
    <row r="43" customFormat="false" ht="15" hidden="false" customHeight="true" outlineLevel="0" collapsed="false">
      <c r="B43" s="28" t="n">
        <v>2019</v>
      </c>
      <c r="C43" s="28" t="n">
        <v>2020</v>
      </c>
      <c r="D43" s="28" t="n">
        <v>2021</v>
      </c>
      <c r="E43" s="28" t="n">
        <v>2022</v>
      </c>
      <c r="F43" s="28" t="n">
        <v>2023</v>
      </c>
      <c r="G43" s="28" t="n">
        <v>2024</v>
      </c>
      <c r="H43" s="28" t="n">
        <v>2025</v>
      </c>
      <c r="I43" s="28" t="n">
        <v>2026</v>
      </c>
      <c r="J43" s="28" t="n">
        <v>2027</v>
      </c>
      <c r="K43" s="28" t="n">
        <v>2028</v>
      </c>
      <c r="L43" s="28" t="n">
        <v>2029</v>
      </c>
      <c r="M43" s="28" t="n">
        <v>2030</v>
      </c>
      <c r="N43" s="28" t="n">
        <v>2031</v>
      </c>
      <c r="O43" s="28" t="n">
        <v>2032</v>
      </c>
      <c r="P43" s="28" t="n">
        <v>2033</v>
      </c>
      <c r="Q43" s="28" t="n">
        <v>2034</v>
      </c>
      <c r="R43" s="28" t="n">
        <v>2035</v>
      </c>
      <c r="S43" s="28" t="n">
        <v>2036</v>
      </c>
      <c r="T43" s="28" t="n">
        <v>2037</v>
      </c>
      <c r="U43" s="28" t="n">
        <v>2038</v>
      </c>
      <c r="V43" s="28" t="n">
        <v>2039</v>
      </c>
      <c r="W43" s="28" t="n">
        <v>2040</v>
      </c>
      <c r="X43" s="28" t="n">
        <v>2041</v>
      </c>
      <c r="Y43" s="28" t="n">
        <v>2042</v>
      </c>
      <c r="Z43" s="28" t="n">
        <v>2043</v>
      </c>
      <c r="AA43" s="28" t="n">
        <v>2044</v>
      </c>
      <c r="AB43" s="28" t="n">
        <v>2045</v>
      </c>
      <c r="AC43" s="28" t="n">
        <v>2046</v>
      </c>
      <c r="AD43" s="28" t="n">
        <v>2047</v>
      </c>
      <c r="AE43" s="28" t="n">
        <v>2048</v>
      </c>
      <c r="AF43" s="28" t="n">
        <v>2049</v>
      </c>
      <c r="AG43" s="28" t="n">
        <v>2050</v>
      </c>
    </row>
    <row r="44" customFormat="false" ht="15" hidden="false" customHeight="true" outlineLevel="0" collapsed="false">
      <c r="A44" s="1" t="s">
        <v>168</v>
      </c>
      <c r="B44" s="32" t="n">
        <v>1</v>
      </c>
      <c r="C44" s="32" t="n">
        <f aca="false">IF(C$43&gt;=$AJ$35,$AM$35,$AL$35+($AM$35-$AL$35)*(C$43-2020)/($AJ$35-2020))</f>
        <v>1.10676445669916</v>
      </c>
      <c r="D44" s="32" t="n">
        <f aca="false">IF(D$43&gt;=$AJ$35,$AM$35,$AL$35+($AM$35-$AL$35)*(D$43-2020)/($AJ$35-2020))</f>
        <v>1.09669822477951</v>
      </c>
      <c r="E44" s="32" t="n">
        <f aca="false">IF(E$43&gt;=$AJ$35,$AM$35,$AL$35+($AM$35-$AL$35)*(E$43-2020)/($AJ$35-2020))</f>
        <v>1.08663199285985</v>
      </c>
      <c r="F44" s="32" t="n">
        <f aca="false">IF(F$43&gt;=$AJ$35,$AM$35,$AL$35+($AM$35-$AL$35)*(F$43-2020)/($AJ$35-2020))</f>
        <v>1.0765657609402</v>
      </c>
      <c r="G44" s="32" t="n">
        <f aca="false">IF(G$43&gt;=$AJ$35,$AM$35,$AL$35+($AM$35-$AL$35)*(G$43-2020)/($AJ$35-2020))</f>
        <v>1.06649952902054</v>
      </c>
      <c r="H44" s="32" t="n">
        <f aca="false">IF(H$43&gt;=$AJ$35,$AM$35,$AL$35+($AM$35-$AL$35)*(H$43-2020)/($AJ$35-2020))</f>
        <v>1.06649952902054</v>
      </c>
      <c r="I44" s="32" t="n">
        <f aca="false">IF(I$43&gt;=$AJ$35,$AM$35,$AL$35+($AM$35-$AL$35)*(I$43-2020)/($AJ$35-2020))</f>
        <v>1.06649952902054</v>
      </c>
      <c r="J44" s="32" t="n">
        <f aca="false">IF(J$43&gt;=$AJ$35,$AM$35,$AL$35+($AM$35-$AL$35)*(J$43-2020)/($AJ$35-2020))</f>
        <v>1.06649952902054</v>
      </c>
      <c r="K44" s="32" t="n">
        <f aca="false">IF(K$43&gt;=$AJ$35,$AM$35,$AL$35+($AM$35-$AL$35)*(K$43-2020)/($AJ$35-2020))</f>
        <v>1.06649952902054</v>
      </c>
      <c r="L44" s="32" t="n">
        <f aca="false">IF(L$43&gt;=$AJ$35,$AM$35,$AL$35+($AM$35-$AL$35)*(L$43-2020)/($AJ$35-2020))</f>
        <v>1.06649952902054</v>
      </c>
      <c r="M44" s="32" t="n">
        <f aca="false">IF(M$43&gt;=$AJ$35,$AM$35,$AL$35+($AM$35-$AL$35)*(M$43-2020)/($AJ$35-2020))</f>
        <v>1.06649952902054</v>
      </c>
      <c r="N44" s="32" t="n">
        <f aca="false">IF(N$43&gt;=$AJ$35,$AM$35,$AL$35+($AM$35-$AL$35)*(N$43-2020)/($AJ$35-2020))</f>
        <v>1.06649952902054</v>
      </c>
      <c r="O44" s="32" t="n">
        <f aca="false">IF(O$43&gt;=$AJ$35,$AM$35,$AL$35+($AM$35-$AL$35)*(O$43-2020)/($AJ$35-2020))</f>
        <v>1.06649952902054</v>
      </c>
      <c r="P44" s="32" t="n">
        <f aca="false">IF(P$43&gt;=$AJ$35,$AM$35,$AL$35+($AM$35-$AL$35)*(P$43-2020)/($AJ$35-2020))</f>
        <v>1.06649952902054</v>
      </c>
      <c r="Q44" s="32" t="n">
        <f aca="false">IF(Q$43&gt;=$AJ$35,$AM$35,$AL$35+($AM$35-$AL$35)*(Q$43-2020)/($AJ$35-2020))</f>
        <v>1.06649952902054</v>
      </c>
      <c r="R44" s="32" t="n">
        <f aca="false">IF(R$43&gt;=$AJ$35,$AM$35,$AL$35+($AM$35-$AL$35)*(R$43-2020)/($AJ$35-2020))</f>
        <v>1.06649952902054</v>
      </c>
      <c r="S44" s="32" t="n">
        <f aca="false">IF(S$43&gt;=$AJ$35,$AM$35,$AL$35+($AM$35-$AL$35)*(S$43-2020)/($AJ$35-2020))</f>
        <v>1.06649952902054</v>
      </c>
      <c r="T44" s="32" t="n">
        <f aca="false">IF(T$43&gt;=$AJ$35,$AM$35,$AL$35+($AM$35-$AL$35)*(T$43-2020)/($AJ$35-2020))</f>
        <v>1.06649952902054</v>
      </c>
      <c r="U44" s="32" t="n">
        <f aca="false">IF(U$43&gt;=$AJ$35,$AM$35,$AL$35+($AM$35-$AL$35)*(U$43-2020)/($AJ$35-2020))</f>
        <v>1.06649952902054</v>
      </c>
      <c r="V44" s="32" t="n">
        <f aca="false">IF(V$43&gt;=$AJ$35,$AM$35,$AL$35+($AM$35-$AL$35)*(V$43-2020)/($AJ$35-2020))</f>
        <v>1.06649952902054</v>
      </c>
      <c r="W44" s="32" t="n">
        <f aca="false">IF(W$43&gt;=$AJ$35,$AM$35,$AL$35+($AM$35-$AL$35)*(W$43-2020)/($AJ$35-2020))</f>
        <v>1.06649952902054</v>
      </c>
      <c r="X44" s="32" t="n">
        <f aca="false">IF(X$43&gt;=$AJ$35,$AM$35,$AL$35+($AM$35-$AL$35)*(X$43-2020)/($AJ$35-2020))</f>
        <v>1.06649952902054</v>
      </c>
      <c r="Y44" s="32" t="n">
        <f aca="false">IF(Y$43&gt;=$AJ$35,$AM$35,$AL$35+($AM$35-$AL$35)*(Y$43-2020)/($AJ$35-2020))</f>
        <v>1.06649952902054</v>
      </c>
      <c r="Z44" s="32" t="n">
        <f aca="false">IF(Z$43&gt;=$AJ$35,$AM$35,$AL$35+($AM$35-$AL$35)*(Z$43-2020)/($AJ$35-2020))</f>
        <v>1.06649952902054</v>
      </c>
      <c r="AA44" s="32" t="n">
        <f aca="false">IF(AA$43&gt;=$AJ$35,$AM$35,$AL$35+($AM$35-$AL$35)*(AA$43-2020)/($AJ$35-2020))</f>
        <v>1.06649952902054</v>
      </c>
      <c r="AB44" s="32" t="n">
        <f aca="false">IF(AB$43&gt;=$AJ$35,$AM$35,$AL$35+($AM$35-$AL$35)*(AB$43-2020)/($AJ$35-2020))</f>
        <v>1.06649952902054</v>
      </c>
      <c r="AC44" s="32" t="n">
        <f aca="false">IF(AC$43&gt;=$AJ$35,$AM$35,$AL$35+($AM$35-$AL$35)*(AC$43-2020)/($AJ$35-2020))</f>
        <v>1.06649952902054</v>
      </c>
      <c r="AD44" s="32" t="n">
        <f aca="false">IF(AD$43&gt;=$AJ$35,$AM$35,$AL$35+($AM$35-$AL$35)*(AD$43-2020)/($AJ$35-2020))</f>
        <v>1.06649952902054</v>
      </c>
      <c r="AE44" s="32" t="n">
        <f aca="false">IF(AE$43&gt;=$AJ$35,$AM$35,$AL$35+($AM$35-$AL$35)*(AE$43-2020)/($AJ$35-2020))</f>
        <v>1.06649952902054</v>
      </c>
      <c r="AF44" s="32" t="n">
        <f aca="false">IF(AF$43&gt;=$AJ$35,$AM$35,$AL$35+($AM$35-$AL$35)*(AF$43-2020)/($AJ$35-2020))</f>
        <v>1.06649952902054</v>
      </c>
      <c r="AG44" s="32" t="n">
        <f aca="false">IF(AG$43&gt;=$AJ$35,$AM$35,$AL$35+($AM$35-$AL$35)*(AG$43-2020)/($AJ$35-2020))</f>
        <v>1.06649952902054</v>
      </c>
    </row>
    <row r="45" customFormat="false" ht="15" hidden="false" customHeight="true" outlineLevel="0" collapsed="false">
      <c r="A45" s="1" t="s">
        <v>171</v>
      </c>
      <c r="B45" s="32" t="n">
        <v>1</v>
      </c>
      <c r="C45" s="32" t="n">
        <f aca="false">IF(C$43&gt;=$AJ$36,$AM$36,$AL$36+($AM$36-$AL$36)*(C$43-2020)/($AJ$36-2020))</f>
        <v>1.13083354920233</v>
      </c>
      <c r="D45" s="32" t="n">
        <f aca="false">IF(D$43&gt;=$AJ$36,$AM$36,$AL$36+($AM$36-$AL$36)*(D$43-2020)/($AJ$36-2020))</f>
        <v>1.13246423264269</v>
      </c>
      <c r="E45" s="32" t="n">
        <f aca="false">IF(E$43&gt;=$AJ$36,$AM$36,$AL$36+($AM$36-$AL$36)*(E$43-2020)/($AJ$36-2020))</f>
        <v>1.13409491608306</v>
      </c>
      <c r="F45" s="32" t="n">
        <f aca="false">IF(F$43&gt;=$AJ$36,$AM$36,$AL$36+($AM$36-$AL$36)*(F$43-2020)/($AJ$36-2020))</f>
        <v>1.13572559952343</v>
      </c>
      <c r="G45" s="32" t="n">
        <f aca="false">IF(G$43&gt;=$AJ$36,$AM$36,$AL$36+($AM$36-$AL$36)*(G$43-2020)/($AJ$36-2020))</f>
        <v>1.13735628296379</v>
      </c>
      <c r="H45" s="32" t="n">
        <f aca="false">IF(H$43&gt;=$AJ$36,$AM$36,$AL$36+($AM$36-$AL$36)*(H$43-2020)/($AJ$36-2020))</f>
        <v>1.13735628296379</v>
      </c>
      <c r="I45" s="32" t="n">
        <f aca="false">IF(I$43&gt;=$AJ$36,$AM$36,$AL$36+($AM$36-$AL$36)*(I$43-2020)/($AJ$36-2020))</f>
        <v>1.13735628296379</v>
      </c>
      <c r="J45" s="32" t="n">
        <f aca="false">IF(J$43&gt;=$AJ$36,$AM$36,$AL$36+($AM$36-$AL$36)*(J$43-2020)/($AJ$36-2020))</f>
        <v>1.13735628296379</v>
      </c>
      <c r="K45" s="32" t="n">
        <f aca="false">IF(K$43&gt;=$AJ$36,$AM$36,$AL$36+($AM$36-$AL$36)*(K$43-2020)/($AJ$36-2020))</f>
        <v>1.13735628296379</v>
      </c>
      <c r="L45" s="32" t="n">
        <f aca="false">IF(L$43&gt;=$AJ$36,$AM$36,$AL$36+($AM$36-$AL$36)*(L$43-2020)/($AJ$36-2020))</f>
        <v>1.13735628296379</v>
      </c>
      <c r="M45" s="32" t="n">
        <f aca="false">IF(M$43&gt;=$AJ$36,$AM$36,$AL$36+($AM$36-$AL$36)*(M$43-2020)/($AJ$36-2020))</f>
        <v>1.13735628296379</v>
      </c>
      <c r="N45" s="32" t="n">
        <f aca="false">IF(N$43&gt;=$AJ$36,$AM$36,$AL$36+($AM$36-$AL$36)*(N$43-2020)/($AJ$36-2020))</f>
        <v>1.13735628296379</v>
      </c>
      <c r="O45" s="32" t="n">
        <f aca="false">IF(O$43&gt;=$AJ$36,$AM$36,$AL$36+($AM$36-$AL$36)*(O$43-2020)/($AJ$36-2020))</f>
        <v>1.13735628296379</v>
      </c>
      <c r="P45" s="32" t="n">
        <f aca="false">IF(P$43&gt;=$AJ$36,$AM$36,$AL$36+($AM$36-$AL$36)*(P$43-2020)/($AJ$36-2020))</f>
        <v>1.13735628296379</v>
      </c>
      <c r="Q45" s="32" t="n">
        <f aca="false">IF(Q$43&gt;=$AJ$36,$AM$36,$AL$36+($AM$36-$AL$36)*(Q$43-2020)/($AJ$36-2020))</f>
        <v>1.13735628296379</v>
      </c>
      <c r="R45" s="32" t="n">
        <f aca="false">IF(R$43&gt;=$AJ$36,$AM$36,$AL$36+($AM$36-$AL$36)*(R$43-2020)/($AJ$36-2020))</f>
        <v>1.13735628296379</v>
      </c>
      <c r="S45" s="32" t="n">
        <f aca="false">IF(S$43&gt;=$AJ$36,$AM$36,$AL$36+($AM$36-$AL$36)*(S$43-2020)/($AJ$36-2020))</f>
        <v>1.13735628296379</v>
      </c>
      <c r="T45" s="32" t="n">
        <f aca="false">IF(T$43&gt;=$AJ$36,$AM$36,$AL$36+($AM$36-$AL$36)*(T$43-2020)/($AJ$36-2020))</f>
        <v>1.13735628296379</v>
      </c>
      <c r="U45" s="32" t="n">
        <f aca="false">IF(U$43&gt;=$AJ$36,$AM$36,$AL$36+($AM$36-$AL$36)*(U$43-2020)/($AJ$36-2020))</f>
        <v>1.13735628296379</v>
      </c>
      <c r="V45" s="32" t="n">
        <f aca="false">IF(V$43&gt;=$AJ$36,$AM$36,$AL$36+($AM$36-$AL$36)*(V$43-2020)/($AJ$36-2020))</f>
        <v>1.13735628296379</v>
      </c>
      <c r="W45" s="32" t="n">
        <f aca="false">IF(W$43&gt;=$AJ$36,$AM$36,$AL$36+($AM$36-$AL$36)*(W$43-2020)/($AJ$36-2020))</f>
        <v>1.13735628296379</v>
      </c>
      <c r="X45" s="32" t="n">
        <f aca="false">IF(X$43&gt;=$AJ$36,$AM$36,$AL$36+($AM$36-$AL$36)*(X$43-2020)/($AJ$36-2020))</f>
        <v>1.13735628296379</v>
      </c>
      <c r="Y45" s="32" t="n">
        <f aca="false">IF(Y$43&gt;=$AJ$36,$AM$36,$AL$36+($AM$36-$AL$36)*(Y$43-2020)/($AJ$36-2020))</f>
        <v>1.13735628296379</v>
      </c>
      <c r="Z45" s="32" t="n">
        <f aca="false">IF(Z$43&gt;=$AJ$36,$AM$36,$AL$36+($AM$36-$AL$36)*(Z$43-2020)/($AJ$36-2020))</f>
        <v>1.13735628296379</v>
      </c>
      <c r="AA45" s="32" t="n">
        <f aca="false">IF(AA$43&gt;=$AJ$36,$AM$36,$AL$36+($AM$36-$AL$36)*(AA$43-2020)/($AJ$36-2020))</f>
        <v>1.13735628296379</v>
      </c>
      <c r="AB45" s="32" t="n">
        <f aca="false">IF(AB$43&gt;=$AJ$36,$AM$36,$AL$36+($AM$36-$AL$36)*(AB$43-2020)/($AJ$36-2020))</f>
        <v>1.13735628296379</v>
      </c>
      <c r="AC45" s="32" t="n">
        <f aca="false">IF(AC$43&gt;=$AJ$36,$AM$36,$AL$36+($AM$36-$AL$36)*(AC$43-2020)/($AJ$36-2020))</f>
        <v>1.13735628296379</v>
      </c>
      <c r="AD45" s="32" t="n">
        <f aca="false">IF(AD$43&gt;=$AJ$36,$AM$36,$AL$36+($AM$36-$AL$36)*(AD$43-2020)/($AJ$36-2020))</f>
        <v>1.13735628296379</v>
      </c>
      <c r="AE45" s="32" t="n">
        <f aca="false">IF(AE$43&gt;=$AJ$36,$AM$36,$AL$36+($AM$36-$AL$36)*(AE$43-2020)/($AJ$36-2020))</f>
        <v>1.13735628296379</v>
      </c>
      <c r="AF45" s="32" t="n">
        <f aca="false">IF(AF$43&gt;=$AJ$36,$AM$36,$AL$36+($AM$36-$AL$36)*(AF$43-2020)/($AJ$36-2020))</f>
        <v>1.13735628296379</v>
      </c>
      <c r="AG45" s="32" t="n">
        <f aca="false">IF(AG$43&gt;=$AJ$36,$AM$36,$AL$36+($AM$36-$AL$36)*(AG$43-2020)/($AJ$36-2020))</f>
        <v>1.13735628296379</v>
      </c>
    </row>
    <row r="46" customFormat="false" ht="15" hidden="false" customHeight="true" outlineLevel="0" collapsed="false">
      <c r="A46" s="1" t="s">
        <v>21</v>
      </c>
      <c r="B46" s="32" t="n">
        <v>1</v>
      </c>
      <c r="C46" s="32" t="n">
        <f aca="false">IF(C$43&gt;=$AJ$37,$AM$37,$AL$37+($AM$37-$AL$37)*(C$43-2020)/($AJ$37-2020))</f>
        <v>1.13986044923239</v>
      </c>
      <c r="D46" s="32" t="n">
        <f aca="false">IF(D$43&gt;=$AJ$37,$AM$37,$AL$37+($AM$37-$AL$37)*(D$43-2020)/($AJ$37-2020))</f>
        <v>1.13283848616476</v>
      </c>
      <c r="E46" s="32" t="n">
        <f aca="false">IF(E$43&gt;=$AJ$37,$AM$37,$AL$37+($AM$37-$AL$37)*(E$43-2020)/($AJ$37-2020))</f>
        <v>1.12581652309713</v>
      </c>
      <c r="F46" s="32" t="n">
        <f aca="false">IF(F$43&gt;=$AJ$37,$AM$37,$AL$37+($AM$37-$AL$37)*(F$43-2020)/($AJ$37-2020))</f>
        <v>1.1187945600295</v>
      </c>
      <c r="G46" s="32" t="n">
        <f aca="false">IF(G$43&gt;=$AJ$37,$AM$37,$AL$37+($AM$37-$AL$37)*(G$43-2020)/($AJ$37-2020))</f>
        <v>1.11177259696187</v>
      </c>
      <c r="H46" s="32" t="n">
        <f aca="false">IF(H$43&gt;=$AJ$37,$AM$37,$AL$37+($AM$37-$AL$37)*(H$43-2020)/($AJ$37-2020))</f>
        <v>1.11177259696187</v>
      </c>
      <c r="I46" s="32" t="n">
        <f aca="false">IF(I$43&gt;=$AJ$37,$AM$37,$AL$37+($AM$37-$AL$37)*(I$43-2020)/($AJ$37-2020))</f>
        <v>1.11177259696187</v>
      </c>
      <c r="J46" s="32" t="n">
        <f aca="false">IF(J$43&gt;=$AJ$37,$AM$37,$AL$37+($AM$37-$AL$37)*(J$43-2020)/($AJ$37-2020))</f>
        <v>1.11177259696187</v>
      </c>
      <c r="K46" s="32" t="n">
        <f aca="false">IF(K$43&gt;=$AJ$37,$AM$37,$AL$37+($AM$37-$AL$37)*(K$43-2020)/($AJ$37-2020))</f>
        <v>1.11177259696187</v>
      </c>
      <c r="L46" s="32" t="n">
        <f aca="false">IF(L$43&gt;=$AJ$37,$AM$37,$AL$37+($AM$37-$AL$37)*(L$43-2020)/($AJ$37-2020))</f>
        <v>1.11177259696187</v>
      </c>
      <c r="M46" s="32" t="n">
        <f aca="false">IF(M$43&gt;=$AJ$37,$AM$37,$AL$37+($AM$37-$AL$37)*(M$43-2020)/($AJ$37-2020))</f>
        <v>1.11177259696187</v>
      </c>
      <c r="N46" s="32" t="n">
        <f aca="false">IF(N$43&gt;=$AJ$37,$AM$37,$AL$37+($AM$37-$AL$37)*(N$43-2020)/($AJ$37-2020))</f>
        <v>1.11177259696187</v>
      </c>
      <c r="O46" s="32" t="n">
        <f aca="false">IF(O$43&gt;=$AJ$37,$AM$37,$AL$37+($AM$37-$AL$37)*(O$43-2020)/($AJ$37-2020))</f>
        <v>1.11177259696187</v>
      </c>
      <c r="P46" s="32" t="n">
        <f aca="false">IF(P$43&gt;=$AJ$37,$AM$37,$AL$37+($AM$37-$AL$37)*(P$43-2020)/($AJ$37-2020))</f>
        <v>1.11177259696187</v>
      </c>
      <c r="Q46" s="32" t="n">
        <f aca="false">IF(Q$43&gt;=$AJ$37,$AM$37,$AL$37+($AM$37-$AL$37)*(Q$43-2020)/($AJ$37-2020))</f>
        <v>1.11177259696187</v>
      </c>
      <c r="R46" s="32" t="n">
        <f aca="false">IF(R$43&gt;=$AJ$37,$AM$37,$AL$37+($AM$37-$AL$37)*(R$43-2020)/($AJ$37-2020))</f>
        <v>1.11177259696187</v>
      </c>
      <c r="S46" s="32" t="n">
        <f aca="false">IF(S$43&gt;=$AJ$37,$AM$37,$AL$37+($AM$37-$AL$37)*(S$43-2020)/($AJ$37-2020))</f>
        <v>1.11177259696187</v>
      </c>
      <c r="T46" s="32" t="n">
        <f aca="false">IF(T$43&gt;=$AJ$37,$AM$37,$AL$37+($AM$37-$AL$37)*(T$43-2020)/($AJ$37-2020))</f>
        <v>1.11177259696187</v>
      </c>
      <c r="U46" s="32" t="n">
        <f aca="false">IF(U$43&gt;=$AJ$37,$AM$37,$AL$37+($AM$37-$AL$37)*(U$43-2020)/($AJ$37-2020))</f>
        <v>1.11177259696187</v>
      </c>
      <c r="V46" s="32" t="n">
        <f aca="false">IF(V$43&gt;=$AJ$37,$AM$37,$AL$37+($AM$37-$AL$37)*(V$43-2020)/($AJ$37-2020))</f>
        <v>1.11177259696187</v>
      </c>
      <c r="W46" s="32" t="n">
        <f aca="false">IF(W$43&gt;=$AJ$37,$AM$37,$AL$37+($AM$37-$AL$37)*(W$43-2020)/($AJ$37-2020))</f>
        <v>1.11177259696187</v>
      </c>
      <c r="X46" s="32" t="n">
        <f aca="false">IF(X$43&gt;=$AJ$37,$AM$37,$AL$37+($AM$37-$AL$37)*(X$43-2020)/($AJ$37-2020))</f>
        <v>1.11177259696187</v>
      </c>
      <c r="Y46" s="32" t="n">
        <f aca="false">IF(Y$43&gt;=$AJ$37,$AM$37,$AL$37+($AM$37-$AL$37)*(Y$43-2020)/($AJ$37-2020))</f>
        <v>1.11177259696187</v>
      </c>
      <c r="Z46" s="32" t="n">
        <f aca="false">IF(Z$43&gt;=$AJ$37,$AM$37,$AL$37+($AM$37-$AL$37)*(Z$43-2020)/($AJ$37-2020))</f>
        <v>1.11177259696187</v>
      </c>
      <c r="AA46" s="32" t="n">
        <f aca="false">IF(AA$43&gt;=$AJ$37,$AM$37,$AL$37+($AM$37-$AL$37)*(AA$43-2020)/($AJ$37-2020))</f>
        <v>1.11177259696187</v>
      </c>
      <c r="AB46" s="32" t="n">
        <f aca="false">IF(AB$43&gt;=$AJ$37,$AM$37,$AL$37+($AM$37-$AL$37)*(AB$43-2020)/($AJ$37-2020))</f>
        <v>1.11177259696187</v>
      </c>
      <c r="AC46" s="32" t="n">
        <f aca="false">IF(AC$43&gt;=$AJ$37,$AM$37,$AL$37+($AM$37-$AL$37)*(AC$43-2020)/($AJ$37-2020))</f>
        <v>1.11177259696187</v>
      </c>
      <c r="AD46" s="32" t="n">
        <f aca="false">IF(AD$43&gt;=$AJ$37,$AM$37,$AL$37+($AM$37-$AL$37)*(AD$43-2020)/($AJ$37-2020))</f>
        <v>1.11177259696187</v>
      </c>
      <c r="AE46" s="32" t="n">
        <f aca="false">IF(AE$43&gt;=$AJ$37,$AM$37,$AL$37+($AM$37-$AL$37)*(AE$43-2020)/($AJ$37-2020))</f>
        <v>1.11177259696187</v>
      </c>
      <c r="AF46" s="32" t="n">
        <f aca="false">IF(AF$43&gt;=$AJ$37,$AM$37,$AL$37+($AM$37-$AL$37)*(AF$43-2020)/($AJ$37-2020))</f>
        <v>1.11177259696187</v>
      </c>
      <c r="AG46" s="32" t="n">
        <f aca="false">IF(AG$43&gt;=$AJ$37,$AM$37,$AL$37+($AM$37-$AL$37)*(AG$43-2020)/($AJ$37-2020))</f>
        <v>1.11177259696187</v>
      </c>
    </row>
    <row r="47" customFormat="false" ht="15" hidden="false" customHeight="true" outlineLevel="0" collapsed="false">
      <c r="A47" s="1" t="s">
        <v>174</v>
      </c>
      <c r="B47" s="32" t="n">
        <v>1</v>
      </c>
      <c r="C47" s="32" t="n">
        <f aca="false">IF(C$43&gt;=$AJ$38,$AM$38,$AL$38+($AM$38-$AL$38)*(C$43-2020)/($AJ$38-2020))</f>
        <v>1.10594921758206</v>
      </c>
      <c r="D47" s="32" t="n">
        <f aca="false">IF(D$43&gt;=$AJ$38,$AM$38,$AL$38+($AM$38-$AL$38)*(D$43-2020)/($AJ$38-2020))</f>
        <v>1.000966563879</v>
      </c>
      <c r="E47" s="32" t="n">
        <f aca="false">IF(E$43&gt;=$AJ$38,$AM$38,$AL$38+($AM$38-$AL$38)*(E$43-2020)/($AJ$38-2020))</f>
        <v>0.89598391017594</v>
      </c>
      <c r="F47" s="32" t="n">
        <f aca="false">IF(F$43&gt;=$AJ$38,$AM$38,$AL$38+($AM$38-$AL$38)*(F$43-2020)/($AJ$38-2020))</f>
        <v>0.89598391017594</v>
      </c>
      <c r="G47" s="32" t="n">
        <f aca="false">IF(G$43&gt;=$AJ$38,$AM$38,$AL$38+($AM$38-$AL$38)*(G$43-2020)/($AJ$38-2020))</f>
        <v>0.89598391017594</v>
      </c>
      <c r="H47" s="32" t="n">
        <f aca="false">IF(H$43&gt;=$AJ$38,$AM$38,$AL$38+($AM$38-$AL$38)*(H$43-2020)/($AJ$38-2020))</f>
        <v>0.89598391017594</v>
      </c>
      <c r="I47" s="32" t="n">
        <f aca="false">IF(I$43&gt;=$AJ$38,$AM$38,$AL$38+($AM$38-$AL$38)*(I$43-2020)/($AJ$38-2020))</f>
        <v>0.89598391017594</v>
      </c>
      <c r="J47" s="32" t="n">
        <f aca="false">IF(J$43&gt;=$AJ$38,$AM$38,$AL$38+($AM$38-$AL$38)*(J$43-2020)/($AJ$38-2020))</f>
        <v>0.89598391017594</v>
      </c>
      <c r="K47" s="32" t="n">
        <f aca="false">IF(K$43&gt;=$AJ$38,$AM$38,$AL$38+($AM$38-$AL$38)*(K$43-2020)/($AJ$38-2020))</f>
        <v>0.89598391017594</v>
      </c>
      <c r="L47" s="32" t="n">
        <f aca="false">IF(L$43&gt;=$AJ$38,$AM$38,$AL$38+($AM$38-$AL$38)*(L$43-2020)/($AJ$38-2020))</f>
        <v>0.89598391017594</v>
      </c>
      <c r="M47" s="32" t="n">
        <f aca="false">IF(M$43&gt;=$AJ$38,$AM$38,$AL$38+($AM$38-$AL$38)*(M$43-2020)/($AJ$38-2020))</f>
        <v>0.89598391017594</v>
      </c>
      <c r="N47" s="32" t="n">
        <f aca="false">IF(N$43&gt;=$AJ$38,$AM$38,$AL$38+($AM$38-$AL$38)*(N$43-2020)/($AJ$38-2020))</f>
        <v>0.89598391017594</v>
      </c>
      <c r="O47" s="32" t="n">
        <f aca="false">IF(O$43&gt;=$AJ$38,$AM$38,$AL$38+($AM$38-$AL$38)*(O$43-2020)/($AJ$38-2020))</f>
        <v>0.89598391017594</v>
      </c>
      <c r="P47" s="32" t="n">
        <f aca="false">IF(P$43&gt;=$AJ$38,$AM$38,$AL$38+($AM$38-$AL$38)*(P$43-2020)/($AJ$38-2020))</f>
        <v>0.89598391017594</v>
      </c>
      <c r="Q47" s="32" t="n">
        <f aca="false">IF(Q$43&gt;=$AJ$38,$AM$38,$AL$38+($AM$38-$AL$38)*(Q$43-2020)/($AJ$38-2020))</f>
        <v>0.89598391017594</v>
      </c>
      <c r="R47" s="32" t="n">
        <f aca="false">IF(R$43&gt;=$AJ$38,$AM$38,$AL$38+($AM$38-$AL$38)*(R$43-2020)/($AJ$38-2020))</f>
        <v>0.89598391017594</v>
      </c>
      <c r="S47" s="32" t="n">
        <f aca="false">IF(S$43&gt;=$AJ$38,$AM$38,$AL$38+($AM$38-$AL$38)*(S$43-2020)/($AJ$38-2020))</f>
        <v>0.89598391017594</v>
      </c>
      <c r="T47" s="32" t="n">
        <f aca="false">IF(T$43&gt;=$AJ$38,$AM$38,$AL$38+($AM$38-$AL$38)*(T$43-2020)/($AJ$38-2020))</f>
        <v>0.89598391017594</v>
      </c>
      <c r="U47" s="32" t="n">
        <f aca="false">IF(U$43&gt;=$AJ$38,$AM$38,$AL$38+($AM$38-$AL$38)*(U$43-2020)/($AJ$38-2020))</f>
        <v>0.89598391017594</v>
      </c>
      <c r="V47" s="32" t="n">
        <f aca="false">IF(V$43&gt;=$AJ$38,$AM$38,$AL$38+($AM$38-$AL$38)*(V$43-2020)/($AJ$38-2020))</f>
        <v>0.89598391017594</v>
      </c>
      <c r="W47" s="32" t="n">
        <f aca="false">IF(W$43&gt;=$AJ$38,$AM$38,$AL$38+($AM$38-$AL$38)*(W$43-2020)/($AJ$38-2020))</f>
        <v>0.89598391017594</v>
      </c>
      <c r="X47" s="32" t="n">
        <f aca="false">IF(X$43&gt;=$AJ$38,$AM$38,$AL$38+($AM$38-$AL$38)*(X$43-2020)/($AJ$38-2020))</f>
        <v>0.89598391017594</v>
      </c>
      <c r="Y47" s="32" t="n">
        <f aca="false">IF(Y$43&gt;=$AJ$38,$AM$38,$AL$38+($AM$38-$AL$38)*(Y$43-2020)/($AJ$38-2020))</f>
        <v>0.89598391017594</v>
      </c>
      <c r="Z47" s="32" t="n">
        <f aca="false">IF(Z$43&gt;=$AJ$38,$AM$38,$AL$38+($AM$38-$AL$38)*(Z$43-2020)/($AJ$38-2020))</f>
        <v>0.89598391017594</v>
      </c>
      <c r="AA47" s="32" t="n">
        <f aca="false">IF(AA$43&gt;=$AJ$38,$AM$38,$AL$38+($AM$38-$AL$38)*(AA$43-2020)/($AJ$38-2020))</f>
        <v>0.89598391017594</v>
      </c>
      <c r="AB47" s="32" t="n">
        <f aca="false">IF(AB$43&gt;=$AJ$38,$AM$38,$AL$38+($AM$38-$AL$38)*(AB$43-2020)/($AJ$38-2020))</f>
        <v>0.89598391017594</v>
      </c>
      <c r="AC47" s="32" t="n">
        <f aca="false">IF(AC$43&gt;=$AJ$38,$AM$38,$AL$38+($AM$38-$AL$38)*(AC$43-2020)/($AJ$38-2020))</f>
        <v>0.89598391017594</v>
      </c>
      <c r="AD47" s="32" t="n">
        <f aca="false">IF(AD$43&gt;=$AJ$38,$AM$38,$AL$38+($AM$38-$AL$38)*(AD$43-2020)/($AJ$38-2020))</f>
        <v>0.89598391017594</v>
      </c>
      <c r="AE47" s="32" t="n">
        <f aca="false">IF(AE$43&gt;=$AJ$38,$AM$38,$AL$38+($AM$38-$AL$38)*(AE$43-2020)/($AJ$38-2020))</f>
        <v>0.89598391017594</v>
      </c>
      <c r="AF47" s="32" t="n">
        <f aca="false">IF(AF$43&gt;=$AJ$38,$AM$38,$AL$38+($AM$38-$AL$38)*(AF$43-2020)/($AJ$38-2020))</f>
        <v>0.89598391017594</v>
      </c>
      <c r="AG47" s="32" t="n">
        <f aca="false">IF(AG$43&gt;=$AJ$38,$AM$38,$AL$38+($AM$38-$AL$38)*(AG$43-2020)/($AJ$38-2020))</f>
        <v>0.89598391017594</v>
      </c>
    </row>
    <row r="48" customFormat="false" ht="15" hidden="false" customHeight="true" outlineLevel="0" collapsed="false">
      <c r="A48" s="1" t="s">
        <v>20</v>
      </c>
      <c r="B48" s="32" t="n">
        <v>1</v>
      </c>
      <c r="C48" s="32" t="n">
        <f aca="false">IF(C$43&gt;=$AJ$39,$AM$39,$AL$39+($AM$39-$AL$39)*(C$43-2020)/($AJ$39-2020))</f>
        <v>1.10691237967339</v>
      </c>
      <c r="D48" s="32" t="n">
        <f aca="false">IF(D$43&gt;=$AJ$39,$AM$39,$AL$39+($AM$39-$AL$39)*(D$43-2020)/($AJ$39-2020))</f>
        <v>1.07581678557721</v>
      </c>
      <c r="E48" s="32" t="n">
        <f aca="false">IF(E$43&gt;=$AJ$39,$AM$39,$AL$39+($AM$39-$AL$39)*(E$43-2020)/($AJ$39-2020))</f>
        <v>1.04472119148102</v>
      </c>
      <c r="F48" s="32" t="n">
        <f aca="false">IF(F$43&gt;=$AJ$39,$AM$39,$AL$39+($AM$39-$AL$39)*(F$43-2020)/($AJ$39-2020))</f>
        <v>1.01362559738483</v>
      </c>
      <c r="G48" s="32" t="n">
        <f aca="false">IF(G$43&gt;=$AJ$39,$AM$39,$AL$39+($AM$39-$AL$39)*(G$43-2020)/($AJ$39-2020))</f>
        <v>0.982530003288649</v>
      </c>
      <c r="H48" s="32" t="n">
        <f aca="false">IF(H$43&gt;=$AJ$39,$AM$39,$AL$39+($AM$39-$AL$39)*(H$43-2020)/($AJ$39-2020))</f>
        <v>0.982530003288649</v>
      </c>
      <c r="I48" s="32" t="n">
        <f aca="false">IF(I$43&gt;=$AJ$39,$AM$39,$AL$39+($AM$39-$AL$39)*(I$43-2020)/($AJ$39-2020))</f>
        <v>0.982530003288649</v>
      </c>
      <c r="J48" s="32" t="n">
        <f aca="false">IF(J$43&gt;=$AJ$39,$AM$39,$AL$39+($AM$39-$AL$39)*(J$43-2020)/($AJ$39-2020))</f>
        <v>0.982530003288649</v>
      </c>
      <c r="K48" s="32" t="n">
        <f aca="false">IF(K$43&gt;=$AJ$39,$AM$39,$AL$39+($AM$39-$AL$39)*(K$43-2020)/($AJ$39-2020))</f>
        <v>0.982530003288649</v>
      </c>
      <c r="L48" s="32" t="n">
        <f aca="false">IF(L$43&gt;=$AJ$39,$AM$39,$AL$39+($AM$39-$AL$39)*(L$43-2020)/($AJ$39-2020))</f>
        <v>0.982530003288649</v>
      </c>
      <c r="M48" s="32" t="n">
        <f aca="false">IF(M$43&gt;=$AJ$39,$AM$39,$AL$39+($AM$39-$AL$39)*(M$43-2020)/($AJ$39-2020))</f>
        <v>0.982530003288649</v>
      </c>
      <c r="N48" s="32" t="n">
        <f aca="false">IF(N$43&gt;=$AJ$39,$AM$39,$AL$39+($AM$39-$AL$39)*(N$43-2020)/($AJ$39-2020))</f>
        <v>0.982530003288649</v>
      </c>
      <c r="O48" s="32" t="n">
        <f aca="false">IF(O$43&gt;=$AJ$39,$AM$39,$AL$39+($AM$39-$AL$39)*(O$43-2020)/($AJ$39-2020))</f>
        <v>0.982530003288649</v>
      </c>
      <c r="P48" s="32" t="n">
        <f aca="false">IF(P$43&gt;=$AJ$39,$AM$39,$AL$39+($AM$39-$AL$39)*(P$43-2020)/($AJ$39-2020))</f>
        <v>0.982530003288649</v>
      </c>
      <c r="Q48" s="32" t="n">
        <f aca="false">IF(Q$43&gt;=$AJ$39,$AM$39,$AL$39+($AM$39-$AL$39)*(Q$43-2020)/($AJ$39-2020))</f>
        <v>0.982530003288649</v>
      </c>
      <c r="R48" s="32" t="n">
        <f aca="false">IF(R$43&gt;=$AJ$39,$AM$39,$AL$39+($AM$39-$AL$39)*(R$43-2020)/($AJ$39-2020))</f>
        <v>0.982530003288649</v>
      </c>
      <c r="S48" s="32" t="n">
        <f aca="false">IF(S$43&gt;=$AJ$39,$AM$39,$AL$39+($AM$39-$AL$39)*(S$43-2020)/($AJ$39-2020))</f>
        <v>0.982530003288649</v>
      </c>
      <c r="T48" s="32" t="n">
        <f aca="false">IF(T$43&gt;=$AJ$39,$AM$39,$AL$39+($AM$39-$AL$39)*(T$43-2020)/($AJ$39-2020))</f>
        <v>0.982530003288649</v>
      </c>
      <c r="U48" s="32" t="n">
        <f aca="false">IF(U$43&gt;=$AJ$39,$AM$39,$AL$39+($AM$39-$AL$39)*(U$43-2020)/($AJ$39-2020))</f>
        <v>0.982530003288649</v>
      </c>
      <c r="V48" s="32" t="n">
        <f aca="false">IF(V$43&gt;=$AJ$39,$AM$39,$AL$39+($AM$39-$AL$39)*(V$43-2020)/($AJ$39-2020))</f>
        <v>0.982530003288649</v>
      </c>
      <c r="W48" s="32" t="n">
        <f aca="false">IF(W$43&gt;=$AJ$39,$AM$39,$AL$39+($AM$39-$AL$39)*(W$43-2020)/($AJ$39-2020))</f>
        <v>0.982530003288649</v>
      </c>
      <c r="X48" s="32" t="n">
        <f aca="false">IF(X$43&gt;=$AJ$39,$AM$39,$AL$39+($AM$39-$AL$39)*(X$43-2020)/($AJ$39-2020))</f>
        <v>0.982530003288649</v>
      </c>
      <c r="Y48" s="32" t="n">
        <f aca="false">IF(Y$43&gt;=$AJ$39,$AM$39,$AL$39+($AM$39-$AL$39)*(Y$43-2020)/($AJ$39-2020))</f>
        <v>0.982530003288649</v>
      </c>
      <c r="Z48" s="32" t="n">
        <f aca="false">IF(Z$43&gt;=$AJ$39,$AM$39,$AL$39+($AM$39-$AL$39)*(Z$43-2020)/($AJ$39-2020))</f>
        <v>0.982530003288649</v>
      </c>
      <c r="AA48" s="32" t="n">
        <f aca="false">IF(AA$43&gt;=$AJ$39,$AM$39,$AL$39+($AM$39-$AL$39)*(AA$43-2020)/($AJ$39-2020))</f>
        <v>0.982530003288649</v>
      </c>
      <c r="AB48" s="32" t="n">
        <f aca="false">IF(AB$43&gt;=$AJ$39,$AM$39,$AL$39+($AM$39-$AL$39)*(AB$43-2020)/($AJ$39-2020))</f>
        <v>0.982530003288649</v>
      </c>
      <c r="AC48" s="32" t="n">
        <f aca="false">IF(AC$43&gt;=$AJ$39,$AM$39,$AL$39+($AM$39-$AL$39)*(AC$43-2020)/($AJ$39-2020))</f>
        <v>0.982530003288649</v>
      </c>
      <c r="AD48" s="32" t="n">
        <f aca="false">IF(AD$43&gt;=$AJ$39,$AM$39,$AL$39+($AM$39-$AL$39)*(AD$43-2020)/($AJ$39-2020))</f>
        <v>0.982530003288649</v>
      </c>
      <c r="AE48" s="32" t="n">
        <f aca="false">IF(AE$43&gt;=$AJ$39,$AM$39,$AL$39+($AM$39-$AL$39)*(AE$43-2020)/($AJ$39-2020))</f>
        <v>0.982530003288649</v>
      </c>
      <c r="AF48" s="32" t="n">
        <f aca="false">IF(AF$43&gt;=$AJ$39,$AM$39,$AL$39+($AM$39-$AL$39)*(AF$43-2020)/($AJ$39-2020))</f>
        <v>0.982530003288649</v>
      </c>
      <c r="AG48" s="32" t="n">
        <f aca="false">IF(AG$43&gt;=$AJ$39,$AM$39,$AL$39+($AM$39-$AL$39)*(AG$43-2020)/($AJ$39-2020))</f>
        <v>0.982530003288649</v>
      </c>
    </row>
    <row r="49" customFormat="false" ht="15" hidden="false" customHeight="true" outlineLevel="0" collapsed="false">
      <c r="A49" s="1" t="s">
        <v>177</v>
      </c>
      <c r="B49" s="32" t="n">
        <v>1</v>
      </c>
      <c r="C49" s="32" t="n">
        <f aca="false">IF(C$43&gt;=$AJ$40,$AM$40,$AL$40+($AM$40-$AL$40)*(C$43-2020)/($AJ$40-2020))</f>
        <v>1</v>
      </c>
      <c r="D49" s="32" t="n">
        <f aca="false">IF(D$43&gt;=$AJ$40,$AM$40,$AL$40+($AM$40-$AL$40)*(D$43-2020)/($AJ$40-2020))</f>
        <v>1</v>
      </c>
      <c r="E49" s="32" t="n">
        <f aca="false">IF(E$43&gt;=$AJ$40,$AM$40,$AL$40+($AM$40-$AL$40)*(E$43-2020)/($AJ$40-2020))</f>
        <v>1</v>
      </c>
      <c r="F49" s="32" t="n">
        <f aca="false">IF(F$43&gt;=$AJ$40,$AM$40,$AL$40+($AM$40-$AL$40)*(F$43-2020)/($AJ$40-2020))</f>
        <v>1</v>
      </c>
      <c r="G49" s="32" t="n">
        <f aca="false">IF(G$43&gt;=$AJ$40,$AM$40,$AL$40+($AM$40-$AL$40)*(G$43-2020)/($AJ$40-2020))</f>
        <v>1</v>
      </c>
      <c r="H49" s="32" t="n">
        <f aca="false">IF(H$43&gt;=$AJ$40,$AM$40,$AL$40+($AM$40-$AL$40)*(H$43-2020)/($AJ$40-2020))</f>
        <v>1</v>
      </c>
      <c r="I49" s="32" t="n">
        <f aca="false">IF(I$43&gt;=$AJ$40,$AM$40,$AL$40+($AM$40-$AL$40)*(I$43-2020)/($AJ$40-2020))</f>
        <v>1</v>
      </c>
      <c r="J49" s="32" t="n">
        <f aca="false">IF(J$43&gt;=$AJ$40,$AM$40,$AL$40+($AM$40-$AL$40)*(J$43-2020)/($AJ$40-2020))</f>
        <v>1</v>
      </c>
      <c r="K49" s="32" t="n">
        <f aca="false">IF(K$43&gt;=$AJ$40,$AM$40,$AL$40+($AM$40-$AL$40)*(K$43-2020)/($AJ$40-2020))</f>
        <v>1</v>
      </c>
      <c r="L49" s="32" t="n">
        <f aca="false">IF(L$43&gt;=$AJ$40,$AM$40,$AL$40+($AM$40-$AL$40)*(L$43-2020)/($AJ$40-2020))</f>
        <v>1</v>
      </c>
      <c r="M49" s="32" t="n">
        <f aca="false">IF(M$43&gt;=$AJ$40,$AM$40,$AL$40+($AM$40-$AL$40)*(M$43-2020)/($AJ$40-2020))</f>
        <v>1</v>
      </c>
      <c r="N49" s="32" t="n">
        <f aca="false">IF(N$43&gt;=$AJ$40,$AM$40,$AL$40+($AM$40-$AL$40)*(N$43-2020)/($AJ$40-2020))</f>
        <v>1</v>
      </c>
      <c r="O49" s="32" t="n">
        <f aca="false">IF(O$43&gt;=$AJ$40,$AM$40,$AL$40+($AM$40-$AL$40)*(O$43-2020)/($AJ$40-2020))</f>
        <v>1</v>
      </c>
      <c r="P49" s="32" t="n">
        <f aca="false">IF(P$43&gt;=$AJ$40,$AM$40,$AL$40+($AM$40-$AL$40)*(P$43-2020)/($AJ$40-2020))</f>
        <v>1</v>
      </c>
      <c r="Q49" s="32" t="n">
        <f aca="false">IF(Q$43&gt;=$AJ$40,$AM$40,$AL$40+($AM$40-$AL$40)*(Q$43-2020)/($AJ$40-2020))</f>
        <v>1</v>
      </c>
      <c r="R49" s="32" t="n">
        <f aca="false">IF(R$43&gt;=$AJ$40,$AM$40,$AL$40+($AM$40-$AL$40)*(R$43-2020)/($AJ$40-2020))</f>
        <v>1</v>
      </c>
      <c r="S49" s="32" t="n">
        <f aca="false">IF(S$43&gt;=$AJ$40,$AM$40,$AL$40+($AM$40-$AL$40)*(S$43-2020)/($AJ$40-2020))</f>
        <v>1</v>
      </c>
      <c r="T49" s="32" t="n">
        <f aca="false">IF(T$43&gt;=$AJ$40,$AM$40,$AL$40+($AM$40-$AL$40)*(T$43-2020)/($AJ$40-2020))</f>
        <v>1</v>
      </c>
      <c r="U49" s="32" t="n">
        <f aca="false">IF(U$43&gt;=$AJ$40,$AM$40,$AL$40+($AM$40-$AL$40)*(U$43-2020)/($AJ$40-2020))</f>
        <v>1</v>
      </c>
      <c r="V49" s="32" t="n">
        <f aca="false">IF(V$43&gt;=$AJ$40,$AM$40,$AL$40+($AM$40-$AL$40)*(V$43-2020)/($AJ$40-2020))</f>
        <v>1</v>
      </c>
      <c r="W49" s="32" t="n">
        <f aca="false">IF(W$43&gt;=$AJ$40,$AM$40,$AL$40+($AM$40-$AL$40)*(W$43-2020)/($AJ$40-2020))</f>
        <v>1</v>
      </c>
      <c r="X49" s="32" t="n">
        <f aca="false">IF(X$43&gt;=$AJ$40,$AM$40,$AL$40+($AM$40-$AL$40)*(X$43-2020)/($AJ$40-2020))</f>
        <v>1</v>
      </c>
      <c r="Y49" s="32" t="n">
        <f aca="false">IF(Y$43&gt;=$AJ$40,$AM$40,$AL$40+($AM$40-$AL$40)*(Y$43-2020)/($AJ$40-2020))</f>
        <v>1</v>
      </c>
      <c r="Z49" s="32" t="n">
        <f aca="false">IF(Z$43&gt;=$AJ$40,$AM$40,$AL$40+($AM$40-$AL$40)*(Z$43-2020)/($AJ$40-2020))</f>
        <v>1</v>
      </c>
      <c r="AA49" s="32" t="n">
        <f aca="false">IF(AA$43&gt;=$AJ$40,$AM$40,$AL$40+($AM$40-$AL$40)*(AA$43-2020)/($AJ$40-2020))</f>
        <v>1</v>
      </c>
      <c r="AB49" s="32" t="n">
        <f aca="false">IF(AB$43&gt;=$AJ$40,$AM$40,$AL$40+($AM$40-$AL$40)*(AB$43-2020)/($AJ$40-2020))</f>
        <v>1</v>
      </c>
      <c r="AC49" s="32" t="n">
        <f aca="false">IF(AC$43&gt;=$AJ$40,$AM$40,$AL$40+($AM$40-$AL$40)*(AC$43-2020)/($AJ$40-2020))</f>
        <v>1</v>
      </c>
      <c r="AD49" s="32" t="n">
        <f aca="false">IF(AD$43&gt;=$AJ$40,$AM$40,$AL$40+($AM$40-$AL$40)*(AD$43-2020)/($AJ$40-2020))</f>
        <v>1</v>
      </c>
      <c r="AE49" s="32" t="n">
        <f aca="false">IF(AE$43&gt;=$AJ$40,$AM$40,$AL$40+($AM$40-$AL$40)*(AE$43-2020)/($AJ$40-2020))</f>
        <v>1</v>
      </c>
      <c r="AF49" s="32" t="n">
        <f aca="false">IF(AF$43&gt;=$AJ$40,$AM$40,$AL$40+($AM$40-$AL$40)*(AF$43-2020)/($AJ$40-2020))</f>
        <v>1</v>
      </c>
      <c r="AG49" s="32" t="n">
        <f aca="false">IF(AG$43&gt;=$AJ$40,$AM$40,$AL$40+($AM$40-$AL$40)*(AG$43-2020)/($AJ$40-2020))</f>
        <v>1</v>
      </c>
    </row>
    <row r="51" customFormat="false" ht="15" hidden="false" customHeight="true" outlineLevel="0" collapsed="false">
      <c r="A51" s="28" t="s">
        <v>202</v>
      </c>
    </row>
    <row r="52" customFormat="false" ht="15" hidden="false" customHeight="true" outlineLevel="0" collapsed="false">
      <c r="B52" s="28" t="n">
        <v>2019</v>
      </c>
      <c r="C52" s="28" t="n">
        <v>2020</v>
      </c>
      <c r="D52" s="28" t="n">
        <v>2021</v>
      </c>
      <c r="E52" s="28" t="n">
        <v>2022</v>
      </c>
      <c r="F52" s="28" t="n">
        <v>2023</v>
      </c>
      <c r="G52" s="28" t="n">
        <v>2024</v>
      </c>
      <c r="H52" s="28" t="n">
        <v>2025</v>
      </c>
      <c r="I52" s="28" t="n">
        <v>2026</v>
      </c>
      <c r="J52" s="28" t="n">
        <v>2027</v>
      </c>
      <c r="K52" s="28" t="n">
        <v>2028</v>
      </c>
      <c r="L52" s="28" t="n">
        <v>2029</v>
      </c>
      <c r="M52" s="28" t="n">
        <v>2030</v>
      </c>
      <c r="N52" s="28" t="n">
        <v>2031</v>
      </c>
      <c r="O52" s="28" t="n">
        <v>2032</v>
      </c>
      <c r="P52" s="28" t="n">
        <v>2033</v>
      </c>
      <c r="Q52" s="28" t="n">
        <v>2034</v>
      </c>
      <c r="R52" s="28" t="n">
        <v>2035</v>
      </c>
      <c r="S52" s="28" t="n">
        <v>2036</v>
      </c>
      <c r="T52" s="28" t="n">
        <v>2037</v>
      </c>
      <c r="U52" s="28" t="n">
        <v>2038</v>
      </c>
      <c r="V52" s="28" t="n">
        <v>2039</v>
      </c>
      <c r="W52" s="28" t="n">
        <v>2040</v>
      </c>
      <c r="X52" s="28" t="n">
        <v>2041</v>
      </c>
      <c r="Y52" s="28" t="n">
        <v>2042</v>
      </c>
      <c r="Z52" s="28" t="n">
        <v>2043</v>
      </c>
      <c r="AA52" s="28" t="n">
        <v>2044</v>
      </c>
      <c r="AB52" s="28" t="n">
        <v>2045</v>
      </c>
      <c r="AC52" s="28" t="n">
        <v>2046</v>
      </c>
      <c r="AD52" s="28" t="n">
        <v>2047</v>
      </c>
      <c r="AE52" s="28" t="n">
        <v>2048</v>
      </c>
      <c r="AF52" s="28" t="n">
        <v>2049</v>
      </c>
      <c r="AG52" s="28" t="n">
        <v>2050</v>
      </c>
    </row>
    <row r="53" customFormat="false" ht="15" hidden="false" customHeight="true" outlineLevel="0" collapsed="false">
      <c r="A53" s="1" t="s">
        <v>168</v>
      </c>
      <c r="B53" s="32" t="n">
        <f aca="false">B35*B44</f>
        <v>1</v>
      </c>
      <c r="C53" s="32" t="n">
        <f aca="false">C35*C44</f>
        <v>1.15</v>
      </c>
      <c r="D53" s="32" t="n">
        <f aca="false">D35*D44</f>
        <v>1.16743679213815</v>
      </c>
      <c r="E53" s="32" t="n">
        <f aca="false">E35*E44</f>
        <v>1.17036069741787</v>
      </c>
      <c r="F53" s="32" t="n">
        <f aca="false">F35*F44</f>
        <v>1.17241701718777</v>
      </c>
      <c r="G53" s="32" t="n">
        <f aca="false">G35*G44</f>
        <v>1.17368627109796</v>
      </c>
      <c r="H53" s="32" t="n">
        <f aca="false">H35*H44</f>
        <v>1.18541755476638</v>
      </c>
      <c r="I53" s="32" t="n">
        <f aca="false">I35*I44</f>
        <v>1.19830947173536</v>
      </c>
      <c r="J53" s="32" t="n">
        <f aca="false">J35*J44</f>
        <v>1.21399479049698</v>
      </c>
      <c r="K53" s="32" t="n">
        <f aca="false">K35*K44</f>
        <v>1.23269018362381</v>
      </c>
      <c r="L53" s="32" t="n">
        <f aca="false">L35*L44</f>
        <v>1.25464030455351</v>
      </c>
      <c r="M53" s="32" t="n">
        <f aca="false">M35*M44</f>
        <v>1.28012300481942</v>
      </c>
      <c r="N53" s="32" t="n">
        <f aca="false">N35*N44</f>
        <v>1.30941628078519</v>
      </c>
      <c r="O53" s="32" t="n">
        <f aca="false">O35*O44</f>
        <v>1.34123490504435</v>
      </c>
      <c r="P53" s="32" t="n">
        <f aca="false">P35*P44</f>
        <v>1.37353276201605</v>
      </c>
      <c r="Q53" s="32" t="n">
        <f aca="false">Q35*Q44</f>
        <v>1.40569317389821</v>
      </c>
      <c r="R53" s="32" t="n">
        <f aca="false">R35*R44</f>
        <v>1.43770527354484</v>
      </c>
      <c r="S53" s="32" t="n">
        <f aca="false">S35*S44</f>
        <v>1.46910525362301</v>
      </c>
      <c r="T53" s="32" t="n">
        <f aca="false">T35*T44</f>
        <v>1.49991051510164</v>
      </c>
      <c r="U53" s="32" t="n">
        <f aca="false">U35*U44</f>
        <v>1.53053457474129</v>
      </c>
      <c r="V53" s="32" t="n">
        <f aca="false">V35*V44</f>
        <v>1.56090323637216</v>
      </c>
      <c r="W53" s="32" t="n">
        <f aca="false">W35*W44</f>
        <v>1.59096393908268</v>
      </c>
      <c r="X53" s="32" t="n">
        <f aca="false">X35*X44</f>
        <v>1.62339297689827</v>
      </c>
      <c r="Y53" s="32" t="n">
        <f aca="false">Y35*Y44</f>
        <v>1.66086877508595</v>
      </c>
      <c r="Z53" s="32" t="n">
        <f aca="false">Z35*Z44</f>
        <v>1.70182389801811</v>
      </c>
      <c r="AA53" s="32" t="n">
        <f aca="false">AA35*AA44</f>
        <v>1.74337409012089</v>
      </c>
      <c r="AB53" s="32" t="n">
        <f aca="false">AB35*AB44</f>
        <v>1.78427160442612</v>
      </c>
      <c r="AC53" s="32" t="n">
        <f aca="false">AC35*AC44</f>
        <v>1.81347752206232</v>
      </c>
      <c r="AD53" s="32" t="n">
        <f aca="false">AD35*AD44</f>
        <v>1.83157631918556</v>
      </c>
      <c r="AE53" s="32" t="n">
        <f aca="false">AE35*AE44</f>
        <v>1.84937010267679</v>
      </c>
      <c r="AF53" s="32" t="n">
        <f aca="false">AF35*AF44</f>
        <v>1.86692050972595</v>
      </c>
      <c r="AG53" s="32" t="n">
        <f aca="false">AG35*AG44</f>
        <v>1.88428900484829</v>
      </c>
    </row>
    <row r="54" customFormat="false" ht="15" hidden="false" customHeight="true" outlineLevel="0" collapsed="false">
      <c r="A54" s="1" t="s">
        <v>171</v>
      </c>
      <c r="B54" s="32" t="n">
        <f aca="false">B36*B45</f>
        <v>1</v>
      </c>
      <c r="C54" s="32" t="n">
        <f aca="false">C36*C45</f>
        <v>1.15</v>
      </c>
      <c r="D54" s="32" t="n">
        <f aca="false">D36*D45</f>
        <v>1.15966031489213</v>
      </c>
      <c r="E54" s="32" t="n">
        <f aca="false">E36*E45</f>
        <v>1.16370449437611</v>
      </c>
      <c r="F54" s="32" t="n">
        <f aca="false">F36*F45</f>
        <v>1.16874061363693</v>
      </c>
      <c r="G54" s="32" t="n">
        <f aca="false">G36*G45</f>
        <v>1.17368627109796</v>
      </c>
      <c r="H54" s="32" t="n">
        <f aca="false">H36*H45</f>
        <v>1.18134100159307</v>
      </c>
      <c r="I54" s="32" t="n">
        <f aca="false">I36*I45</f>
        <v>1.18975521364039</v>
      </c>
      <c r="J54" s="32" t="n">
        <f aca="false">J36*J45</f>
        <v>1.20115620207374</v>
      </c>
      <c r="K54" s="32" t="n">
        <f aca="false">K36*K45</f>
        <v>1.21571784666977</v>
      </c>
      <c r="L54" s="32" t="n">
        <f aca="false">L36*L45</f>
        <v>1.23301883991421</v>
      </c>
      <c r="M54" s="32" t="n">
        <f aca="false">M36*M45</f>
        <v>1.24890891483842</v>
      </c>
      <c r="N54" s="32" t="n">
        <f aca="false">N36*N45</f>
        <v>1.27270088219</v>
      </c>
      <c r="O54" s="32" t="n">
        <f aca="false">O36*O45</f>
        <v>1.29830486350217</v>
      </c>
      <c r="P54" s="32" t="n">
        <f aca="false">P36*P45</f>
        <v>1.32426409332757</v>
      </c>
      <c r="Q54" s="32" t="n">
        <f aca="false">Q36*Q45</f>
        <v>1.3499344875743</v>
      </c>
      <c r="R54" s="32" t="n">
        <f aca="false">R36*R45</f>
        <v>1.36999119949799</v>
      </c>
      <c r="S54" s="32" t="n">
        <f aca="false">S36*S45</f>
        <v>1.39449542691793</v>
      </c>
      <c r="T54" s="32" t="n">
        <f aca="false">T36*T45</f>
        <v>1.41857001594157</v>
      </c>
      <c r="U54" s="32" t="n">
        <f aca="false">U36*U45</f>
        <v>1.44250787842019</v>
      </c>
      <c r="V54" s="32" t="n">
        <f aca="false">V36*V45</f>
        <v>1.4662948116996</v>
      </c>
      <c r="W54" s="32" t="n">
        <f aca="false">W36*W45</f>
        <v>1.48419847251128</v>
      </c>
      <c r="X54" s="32" t="n">
        <f aca="false">X36*X45</f>
        <v>1.5119877296129</v>
      </c>
      <c r="Y54" s="32" t="n">
        <f aca="false">Y36*Y45</f>
        <v>1.54396301866576</v>
      </c>
      <c r="Z54" s="32" t="n">
        <f aca="false">Z36*Z45</f>
        <v>1.57895114168159</v>
      </c>
      <c r="AA54" s="32" t="n">
        <f aca="false">AA36*AA45</f>
        <v>1.61446321773046</v>
      </c>
      <c r="AB54" s="32" t="n">
        <f aca="false">AB36*AB45</f>
        <v>1.63667652733718</v>
      </c>
      <c r="AC54" s="32" t="n">
        <f aca="false">AC36*AC45</f>
        <v>1.66264792229756</v>
      </c>
      <c r="AD54" s="32" t="n">
        <f aca="false">AD36*AD45</f>
        <v>1.68034820487689</v>
      </c>
      <c r="AE54" s="32" t="n">
        <f aca="false">AE36*AE45</f>
        <v>1.69795734887403</v>
      </c>
      <c r="AF54" s="32" t="n">
        <f aca="false">AF36*AF45</f>
        <v>1.71601574709825</v>
      </c>
      <c r="AG54" s="32" t="n">
        <f aca="false">AG36*AG45</f>
        <v>1.72056638429138</v>
      </c>
    </row>
    <row r="55" customFormat="false" ht="15" hidden="false" customHeight="true" outlineLevel="0" collapsed="false">
      <c r="A55" s="1" t="s">
        <v>21</v>
      </c>
      <c r="B55" s="32" t="n">
        <f aca="false">B37*B46</f>
        <v>1</v>
      </c>
      <c r="C55" s="32" t="n">
        <f aca="false">C37*C46</f>
        <v>1.15</v>
      </c>
      <c r="D55" s="32" t="n">
        <f aca="false">D37*D46</f>
        <v>1.13191238764194</v>
      </c>
      <c r="E55" s="32" t="n">
        <f aca="false">E37*E46</f>
        <v>1.1139611830171</v>
      </c>
      <c r="F55" s="32" t="n">
        <f aca="false">F37*F46</f>
        <v>1.09614638612547</v>
      </c>
      <c r="G55" s="32" t="n">
        <f aca="false">G37*G46</f>
        <v>1.07846799696706</v>
      </c>
      <c r="H55" s="32" t="n">
        <f aca="false">H37*H46</f>
        <v>1.06766942266929</v>
      </c>
      <c r="I55" s="32" t="n">
        <f aca="false">I37*I46</f>
        <v>1.05687084837152</v>
      </c>
      <c r="J55" s="32" t="n">
        <f aca="false">J37*J46</f>
        <v>1.04607227407374</v>
      </c>
      <c r="K55" s="32" t="n">
        <f aca="false">K37*K46</f>
        <v>1.03527369977597</v>
      </c>
      <c r="L55" s="32" t="n">
        <f aca="false">L37*L46</f>
        <v>1.02447512547819</v>
      </c>
      <c r="M55" s="32" t="n">
        <f aca="false">M37*M46</f>
        <v>1.01367655118042</v>
      </c>
      <c r="N55" s="32" t="n">
        <f aca="false">N37*N46</f>
        <v>1.02898468810819</v>
      </c>
      <c r="O55" s="32" t="n">
        <f aca="false">O37*O46</f>
        <v>1.04429282503596</v>
      </c>
      <c r="P55" s="32" t="n">
        <f aca="false">P37*P46</f>
        <v>1.05960096196373</v>
      </c>
      <c r="Q55" s="32" t="n">
        <f aca="false">Q37*Q46</f>
        <v>1.0749090988915</v>
      </c>
      <c r="R55" s="32" t="n">
        <f aca="false">R37*R46</f>
        <v>1.09021723581927</v>
      </c>
      <c r="S55" s="32" t="n">
        <f aca="false">S37*S46</f>
        <v>1.10552537274704</v>
      </c>
      <c r="T55" s="32" t="n">
        <f aca="false">T37*T46</f>
        <v>1.12083350967481</v>
      </c>
      <c r="U55" s="32" t="n">
        <f aca="false">U37*U46</f>
        <v>1.13614164660258</v>
      </c>
      <c r="V55" s="32" t="n">
        <f aca="false">V37*V46</f>
        <v>1.15144978353035</v>
      </c>
      <c r="W55" s="32" t="n">
        <f aca="false">W37*W46</f>
        <v>1.16675792045812</v>
      </c>
      <c r="X55" s="32" t="n">
        <f aca="false">X37*X46</f>
        <v>1.19616758160996</v>
      </c>
      <c r="Y55" s="32" t="n">
        <f aca="false">Y37*Y46</f>
        <v>1.22557724276179</v>
      </c>
      <c r="Z55" s="32" t="n">
        <f aca="false">Z37*Z46</f>
        <v>1.25498690391363</v>
      </c>
      <c r="AA55" s="32" t="n">
        <f aca="false">AA37*AA46</f>
        <v>1.28439656506547</v>
      </c>
      <c r="AB55" s="32" t="n">
        <f aca="false">AB37*AB46</f>
        <v>1.31380622621731</v>
      </c>
      <c r="AC55" s="32" t="n">
        <f aca="false">AC37*AC46</f>
        <v>1.34321588736914</v>
      </c>
      <c r="AD55" s="32" t="n">
        <f aca="false">AD37*AD46</f>
        <v>1.37262554852098</v>
      </c>
      <c r="AE55" s="32" t="n">
        <f aca="false">AE37*AE46</f>
        <v>1.40203520967282</v>
      </c>
      <c r="AF55" s="32" t="n">
        <f aca="false">AF37*AF46</f>
        <v>1.43144487082466</v>
      </c>
      <c r="AG55" s="32" t="n">
        <f aca="false">AG37*AG46</f>
        <v>1.4608545319765</v>
      </c>
    </row>
    <row r="56" customFormat="false" ht="15" hidden="false" customHeight="true" outlineLevel="0" collapsed="false">
      <c r="A56" s="1" t="s">
        <v>174</v>
      </c>
      <c r="B56" s="32" t="n">
        <f aca="false">B38*B47</f>
        <v>1</v>
      </c>
      <c r="C56" s="32" t="n">
        <f aca="false">C38*C47</f>
        <v>1.15</v>
      </c>
      <c r="D56" s="32" t="n">
        <f aca="false">D38*D47</f>
        <v>1.08678658980019</v>
      </c>
      <c r="E56" s="32" t="n">
        <f aca="false">E38*E47</f>
        <v>1.01393442622951</v>
      </c>
      <c r="F56" s="32" t="n">
        <f aca="false">F38*F47</f>
        <v>1.05506583046551</v>
      </c>
      <c r="G56" s="32" t="n">
        <f aca="false">G38*G47</f>
        <v>1.09619723470151</v>
      </c>
      <c r="H56" s="32" t="n">
        <f aca="false">H38*H47</f>
        <v>1.13732863893751</v>
      </c>
      <c r="I56" s="32" t="n">
        <f aca="false">I38*I47</f>
        <v>1.17846004317351</v>
      </c>
      <c r="J56" s="32" t="n">
        <f aca="false">J38*J47</f>
        <v>1.21959144740951</v>
      </c>
      <c r="K56" s="32" t="n">
        <f aca="false">K38*K47</f>
        <v>1.2607228516455</v>
      </c>
      <c r="L56" s="32" t="n">
        <f aca="false">L38*L47</f>
        <v>1.3018542558815</v>
      </c>
      <c r="M56" s="32" t="n">
        <f aca="false">M38*M47</f>
        <v>1.3429856601175</v>
      </c>
      <c r="N56" s="32" t="n">
        <f aca="false">N38*N47</f>
        <v>1.41212915842111</v>
      </c>
      <c r="O56" s="32" t="n">
        <f aca="false">O38*O47</f>
        <v>1.48127265672472</v>
      </c>
      <c r="P56" s="32" t="n">
        <f aca="false">P38*P47</f>
        <v>1.55041615502832</v>
      </c>
      <c r="Q56" s="32" t="n">
        <f aca="false">Q38*Q47</f>
        <v>1.61955965333193</v>
      </c>
      <c r="R56" s="32" t="n">
        <f aca="false">R38*R47</f>
        <v>1.68870315163554</v>
      </c>
      <c r="S56" s="32" t="n">
        <f aca="false">S38*S47</f>
        <v>1.75784664993914</v>
      </c>
      <c r="T56" s="32" t="n">
        <f aca="false">T38*T47</f>
        <v>1.82699014824275</v>
      </c>
      <c r="U56" s="32" t="n">
        <f aca="false">U38*U47</f>
        <v>1.89613364654635</v>
      </c>
      <c r="V56" s="32" t="n">
        <f aca="false">V38*V47</f>
        <v>1.96527714484996</v>
      </c>
      <c r="W56" s="32" t="n">
        <f aca="false">W38*W47</f>
        <v>2.03442064315357</v>
      </c>
      <c r="X56" s="32" t="n">
        <f aca="false">X38*X47</f>
        <v>2.13778328585129</v>
      </c>
      <c r="Y56" s="32" t="n">
        <f aca="false">Y38*Y47</f>
        <v>2.24114592854902</v>
      </c>
      <c r="Z56" s="32" t="n">
        <f aca="false">Z38*Z47</f>
        <v>2.34450857124675</v>
      </c>
      <c r="AA56" s="32" t="n">
        <f aca="false">AA38*AA47</f>
        <v>2.44787121394447</v>
      </c>
      <c r="AB56" s="32" t="n">
        <f aca="false">AB38*AB47</f>
        <v>2.5512338566422</v>
      </c>
      <c r="AC56" s="32" t="n">
        <f aca="false">AC38*AC47</f>
        <v>2.65459649933992</v>
      </c>
      <c r="AD56" s="32" t="n">
        <f aca="false">AD38*AD47</f>
        <v>2.75795914203765</v>
      </c>
      <c r="AE56" s="32" t="n">
        <f aca="false">AE38*AE47</f>
        <v>2.86132178473538</v>
      </c>
      <c r="AF56" s="32" t="n">
        <f aca="false">AF38*AF47</f>
        <v>2.9646844274331</v>
      </c>
      <c r="AG56" s="32" t="n">
        <f aca="false">AG38*AG47</f>
        <v>3.06804707013083</v>
      </c>
    </row>
    <row r="57" customFormat="false" ht="15" hidden="false" customHeight="true" outlineLevel="0" collapsed="false">
      <c r="A57" s="1" t="s">
        <v>20</v>
      </c>
      <c r="B57" s="32" t="n">
        <f aca="false">B39*B48</f>
        <v>1</v>
      </c>
      <c r="C57" s="32" t="n">
        <f aca="false">C39*C48</f>
        <v>1.15</v>
      </c>
      <c r="D57" s="32" t="n">
        <f aca="false">D39*D48</f>
        <v>1.16538425805728</v>
      </c>
      <c r="E57" s="32" t="n">
        <f aca="false">E39*E48</f>
        <v>1.17801162006827</v>
      </c>
      <c r="F57" s="32" t="n">
        <f aca="false">F39*F48</f>
        <v>1.18788208603296</v>
      </c>
      <c r="G57" s="32" t="n">
        <f aca="false">G39*G48</f>
        <v>1.19499565595135</v>
      </c>
      <c r="H57" s="32" t="n">
        <f aca="false">H39*H48</f>
        <v>1.23855058969945</v>
      </c>
      <c r="I57" s="32" t="n">
        <f aca="false">I39*I48</f>
        <v>1.28210552344756</v>
      </c>
      <c r="J57" s="32" t="n">
        <f aca="false">J39*J48</f>
        <v>1.32566045719566</v>
      </c>
      <c r="K57" s="32" t="n">
        <f aca="false">K39*K48</f>
        <v>1.36921539094376</v>
      </c>
      <c r="L57" s="32" t="n">
        <f aca="false">L39*L48</f>
        <v>1.41277032469187</v>
      </c>
      <c r="M57" s="32" t="n">
        <f aca="false">M39*M48</f>
        <v>1.45632525843997</v>
      </c>
      <c r="N57" s="32" t="n">
        <f aca="false">N39*N48</f>
        <v>1.4875770849136</v>
      </c>
      <c r="O57" s="32" t="n">
        <f aca="false">O39*O48</f>
        <v>1.51882891138722</v>
      </c>
      <c r="P57" s="32" t="n">
        <f aca="false">P39*P48</f>
        <v>1.55008073786085</v>
      </c>
      <c r="Q57" s="32" t="n">
        <f aca="false">Q39*Q48</f>
        <v>1.58133256433447</v>
      </c>
      <c r="R57" s="32" t="n">
        <f aca="false">R39*R48</f>
        <v>1.6125843908081</v>
      </c>
      <c r="S57" s="32" t="n">
        <f aca="false">S39*S48</f>
        <v>1.64383621728172</v>
      </c>
      <c r="T57" s="32" t="n">
        <f aca="false">T39*T48</f>
        <v>1.67508804375534</v>
      </c>
      <c r="U57" s="32" t="n">
        <f aca="false">U39*U48</f>
        <v>1.70633987022897</v>
      </c>
      <c r="V57" s="32" t="n">
        <f aca="false">V39*V48</f>
        <v>1.73759169670259</v>
      </c>
      <c r="W57" s="32" t="n">
        <f aca="false">W39*W48</f>
        <v>1.76884352317622</v>
      </c>
      <c r="X57" s="32" t="n">
        <f aca="false">X39*X48</f>
        <v>1.78223478132446</v>
      </c>
      <c r="Y57" s="32" t="n">
        <f aca="false">Y39*Y48</f>
        <v>1.79562603947271</v>
      </c>
      <c r="Z57" s="32" t="n">
        <f aca="false">Z39*Z48</f>
        <v>1.80901729762096</v>
      </c>
      <c r="AA57" s="32" t="n">
        <f aca="false">AA39*AA48</f>
        <v>1.8224085557692</v>
      </c>
      <c r="AB57" s="32" t="n">
        <f aca="false">AB39*AB48</f>
        <v>1.83579981391745</v>
      </c>
      <c r="AC57" s="32" t="n">
        <f aca="false">AC39*AC48</f>
        <v>1.84919107206569</v>
      </c>
      <c r="AD57" s="32" t="n">
        <f aca="false">AD39*AD48</f>
        <v>1.86258233021394</v>
      </c>
      <c r="AE57" s="32" t="n">
        <f aca="false">AE39*AE48</f>
        <v>1.87597358836219</v>
      </c>
      <c r="AF57" s="32" t="n">
        <f aca="false">AF39*AF48</f>
        <v>1.88936484651043</v>
      </c>
      <c r="AG57" s="32" t="n">
        <f aca="false">AG39*AG48</f>
        <v>1.90275610465868</v>
      </c>
    </row>
    <row r="58" customFormat="false" ht="15" hidden="false" customHeight="true" outlineLevel="0" collapsed="false">
      <c r="A58" s="1" t="s">
        <v>177</v>
      </c>
      <c r="B58" s="32" t="n">
        <f aca="false">B40*B49</f>
        <v>0</v>
      </c>
      <c r="C58" s="32" t="n">
        <f aca="false">C40*C49</f>
        <v>0</v>
      </c>
      <c r="D58" s="32" t="n">
        <f aca="false">D40*D49</f>
        <v>0</v>
      </c>
      <c r="E58" s="32" t="n">
        <f aca="false">E40*E49</f>
        <v>0</v>
      </c>
      <c r="F58" s="32" t="n">
        <f aca="false">F40*F49</f>
        <v>0</v>
      </c>
      <c r="G58" s="32" t="n">
        <f aca="false">G40*G49</f>
        <v>0</v>
      </c>
      <c r="H58" s="32" t="n">
        <f aca="false">H40*H49</f>
        <v>0</v>
      </c>
      <c r="I58" s="32" t="n">
        <f aca="false">I40*I49</f>
        <v>0</v>
      </c>
      <c r="J58" s="32" t="n">
        <f aca="false">J40*J49</f>
        <v>0</v>
      </c>
      <c r="K58" s="32" t="n">
        <f aca="false">K40*K49</f>
        <v>0</v>
      </c>
      <c r="L58" s="32" t="n">
        <f aca="false">L40*L49</f>
        <v>0</v>
      </c>
      <c r="M58" s="32" t="n">
        <f aca="false">M40*M49</f>
        <v>0</v>
      </c>
      <c r="N58" s="32" t="n">
        <f aca="false">N40*N49</f>
        <v>0</v>
      </c>
      <c r="O58" s="32" t="n">
        <f aca="false">O40*O49</f>
        <v>0</v>
      </c>
      <c r="P58" s="32" t="n">
        <f aca="false">P40*P49</f>
        <v>0</v>
      </c>
      <c r="Q58" s="32" t="n">
        <f aca="false">Q40*Q49</f>
        <v>0</v>
      </c>
      <c r="R58" s="32" t="n">
        <f aca="false">R40*R49</f>
        <v>0</v>
      </c>
      <c r="S58" s="32" t="n">
        <f aca="false">S40*S49</f>
        <v>0</v>
      </c>
      <c r="T58" s="32" t="n">
        <f aca="false">T40*T49</f>
        <v>0</v>
      </c>
      <c r="U58" s="32" t="n">
        <f aca="false">U40*U49</f>
        <v>0</v>
      </c>
      <c r="V58" s="32" t="n">
        <f aca="false">V40*V49</f>
        <v>0</v>
      </c>
      <c r="W58" s="32" t="n">
        <f aca="false">W40*W49</f>
        <v>0</v>
      </c>
      <c r="X58" s="32" t="n">
        <f aca="false">X40*X49</f>
        <v>0</v>
      </c>
      <c r="Y58" s="32" t="n">
        <f aca="false">Y40*Y49</f>
        <v>0</v>
      </c>
      <c r="Z58" s="32" t="n">
        <f aca="false">Z40*Z49</f>
        <v>0</v>
      </c>
      <c r="AA58" s="32" t="n">
        <f aca="false">AA40*AA49</f>
        <v>0</v>
      </c>
      <c r="AB58" s="32" t="n">
        <f aca="false">AB40*AB49</f>
        <v>0</v>
      </c>
      <c r="AC58" s="32" t="n">
        <f aca="false">AC40*AC49</f>
        <v>0</v>
      </c>
      <c r="AD58" s="32" t="n">
        <f aca="false">AD40*AD49</f>
        <v>0</v>
      </c>
      <c r="AE58" s="32" t="n">
        <f aca="false">AE40*AE49</f>
        <v>0</v>
      </c>
      <c r="AF58" s="32" t="n">
        <f aca="false">AF40*AF49</f>
        <v>0</v>
      </c>
      <c r="AG58" s="32" t="n">
        <f aca="false">AG40*AG49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97D"/>
    <pageSetUpPr fitToPage="false"/>
  </sheetPr>
  <dimension ref="A1:AG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8.83203125" defaultRowHeight="15" zeroHeight="false" outlineLevelRow="0" outlineLevelCol="0"/>
  <cols>
    <col collapsed="false" customWidth="true" hidden="false" outlineLevel="0" max="1" min="1" style="1" width="16.5"/>
  </cols>
  <sheetData>
    <row r="1" customFormat="false" ht="79.5" hidden="false" customHeight="true" outlineLevel="0" collapsed="false">
      <c r="A1" s="38" t="s">
        <v>203</v>
      </c>
      <c r="B1" s="1" t="n">
        <v>2019</v>
      </c>
      <c r="C1" s="1" t="n">
        <v>2020</v>
      </c>
      <c r="D1" s="1" t="n">
        <v>2021</v>
      </c>
      <c r="E1" s="1" t="n">
        <v>2022</v>
      </c>
      <c r="F1" s="1" t="n">
        <v>2023</v>
      </c>
      <c r="G1" s="1" t="n">
        <v>2024</v>
      </c>
      <c r="H1" s="1" t="n">
        <v>2025</v>
      </c>
      <c r="I1" s="1" t="n">
        <v>2026</v>
      </c>
      <c r="J1" s="1" t="n">
        <v>2027</v>
      </c>
      <c r="K1" s="1" t="n">
        <v>2028</v>
      </c>
      <c r="L1" s="1" t="n">
        <v>2029</v>
      </c>
      <c r="M1" s="1" t="n">
        <v>2030</v>
      </c>
      <c r="N1" s="1" t="n">
        <v>2031</v>
      </c>
      <c r="O1" s="1" t="n">
        <v>2032</v>
      </c>
      <c r="P1" s="1" t="n">
        <v>2033</v>
      </c>
      <c r="Q1" s="1" t="n">
        <v>2034</v>
      </c>
      <c r="R1" s="1" t="n">
        <v>2035</v>
      </c>
      <c r="S1" s="1" t="n">
        <v>2036</v>
      </c>
      <c r="T1" s="1" t="n">
        <v>2037</v>
      </c>
      <c r="U1" s="1" t="n">
        <v>2038</v>
      </c>
      <c r="V1" s="1" t="n">
        <v>2039</v>
      </c>
      <c r="W1" s="1" t="n">
        <v>2040</v>
      </c>
      <c r="X1" s="1" t="n">
        <v>2041</v>
      </c>
      <c r="Y1" s="1" t="n">
        <v>2042</v>
      </c>
      <c r="Z1" s="1" t="n">
        <v>2043</v>
      </c>
      <c r="AA1" s="1" t="n">
        <v>2044</v>
      </c>
      <c r="AB1" s="1" t="n">
        <v>2045</v>
      </c>
      <c r="AC1" s="1" t="n">
        <v>2046</v>
      </c>
      <c r="AD1" s="1" t="n">
        <v>2047</v>
      </c>
      <c r="AE1" s="1" t="n">
        <v>2048</v>
      </c>
      <c r="AF1" s="1" t="n">
        <v>2049</v>
      </c>
      <c r="AG1" s="1" t="n">
        <v>2050</v>
      </c>
    </row>
    <row r="2" customFormat="false" ht="15" hidden="false" customHeight="true" outlineLevel="0" collapsed="false">
      <c r="A2" s="1" t="s">
        <v>168</v>
      </c>
      <c r="B2" s="39" t="n">
        <f aca="false">'BAU Adjustment'!B26</f>
        <v>1</v>
      </c>
      <c r="C2" s="39" t="n">
        <f aca="false">'BAU Adjustment'!C26</f>
        <v>1.15</v>
      </c>
      <c r="D2" s="39" t="n">
        <f aca="false">'BAU Adjustment'!D26</f>
        <v>1.14468898063315</v>
      </c>
      <c r="E2" s="39" t="n">
        <f aca="false">'BAU Adjustment'!E26</f>
        <v>1.13458245663295</v>
      </c>
      <c r="F2" s="39" t="n">
        <f aca="false">'BAU Adjustment'!F26</f>
        <v>1.11975015338797</v>
      </c>
      <c r="G2" s="39" t="n">
        <f aca="false">'BAU Adjustment'!G26</f>
        <v>1.10028586536941</v>
      </c>
      <c r="H2" s="39" t="n">
        <f aca="false">'BAU Adjustment'!H26</f>
        <v>1.13857276532939</v>
      </c>
      <c r="I2" s="39" t="n">
        <f aca="false">'BAU Adjustment'!I26</f>
        <v>1.17452176212071</v>
      </c>
      <c r="J2" s="39" t="n">
        <f aca="false">'BAU Adjustment'!J26</f>
        <v>1.20829408935971</v>
      </c>
      <c r="K2" s="39" t="n">
        <f aca="false">'BAU Adjustment'!K26</f>
        <v>1.23999419972006</v>
      </c>
      <c r="L2" s="39" t="n">
        <f aca="false">'BAU Adjustment'!L26</f>
        <v>1.26969399251677</v>
      </c>
      <c r="M2" s="39" t="n">
        <f aca="false">'BAU Adjustment'!M26</f>
        <v>1.29748698385608</v>
      </c>
      <c r="N2" s="39" t="n">
        <f aca="false">'BAU Adjustment'!N26</f>
        <v>1.32354058944593</v>
      </c>
      <c r="O2" s="39" t="n">
        <f aca="false">'BAU Adjustment'!O26</f>
        <v>1.34801193898681</v>
      </c>
      <c r="P2" s="39" t="n">
        <f aca="false">'BAU Adjustment'!P26</f>
        <v>1.37100264009362</v>
      </c>
      <c r="Q2" s="39" t="n">
        <f aca="false">'BAU Adjustment'!Q26</f>
        <v>1.39261436293205</v>
      </c>
      <c r="R2" s="39" t="n">
        <f aca="false">'BAU Adjustment'!R26</f>
        <v>1.41247285730833</v>
      </c>
      <c r="S2" s="39" t="n">
        <f aca="false">'BAU Adjustment'!S26</f>
        <v>1.43025267067673</v>
      </c>
      <c r="T2" s="39" t="n">
        <f aca="false">'BAU Adjustment'!T26</f>
        <v>1.44613670390287</v>
      </c>
      <c r="U2" s="39" t="n">
        <f aca="false">'BAU Adjustment'!U26</f>
        <v>1.4602972910254</v>
      </c>
      <c r="V2" s="39" t="n">
        <f aca="false">'BAU Adjustment'!V26</f>
        <v>1.47288818854012</v>
      </c>
      <c r="W2" s="39" t="n">
        <f aca="false">'BAU Adjustment'!W26</f>
        <v>1.48405892656112</v>
      </c>
      <c r="X2" s="39" t="n">
        <f aca="false">'BAU Adjustment'!X26</f>
        <v>1.49395013603587</v>
      </c>
      <c r="Y2" s="39" t="n">
        <f aca="false">'BAU Adjustment'!Y26</f>
        <v>1.50268397761612</v>
      </c>
      <c r="Z2" s="39" t="n">
        <f aca="false">'BAU Adjustment'!Z26</f>
        <v>1.51038672875305</v>
      </c>
      <c r="AA2" s="39" t="n">
        <f aca="false">'BAU Adjustment'!AA26</f>
        <v>1.51713512718624</v>
      </c>
      <c r="AB2" s="39" t="n">
        <f aca="false">'BAU Adjustment'!AB26</f>
        <v>1.52303570655661</v>
      </c>
      <c r="AC2" s="39" t="n">
        <f aca="false">'BAU Adjustment'!AC26</f>
        <v>1.52818730074512</v>
      </c>
      <c r="AD2" s="39" t="n">
        <f aca="false">'BAU Adjustment'!AD26</f>
        <v>1.53268236290589</v>
      </c>
      <c r="AE2" s="39" t="n">
        <f aca="false">'BAU Adjustment'!AE26</f>
        <v>1.53660655842979</v>
      </c>
      <c r="AF2" s="39" t="n">
        <f aca="false">'BAU Adjustment'!AF26</f>
        <v>1.54003340496837</v>
      </c>
      <c r="AG2" s="39" t="n">
        <f aca="false">'BAU Adjustment'!AG26</f>
        <v>1.55176934951052</v>
      </c>
    </row>
    <row r="3" customFormat="false" ht="15" hidden="false" customHeight="true" outlineLevel="0" collapsed="false">
      <c r="A3" s="1" t="s">
        <v>171</v>
      </c>
      <c r="B3" s="39" t="n">
        <f aca="false">'BAU Adjustment'!B27</f>
        <v>1</v>
      </c>
      <c r="C3" s="39" t="n">
        <f aca="false">'BAU Adjustment'!C27</f>
        <v>1.15</v>
      </c>
      <c r="D3" s="39" t="n">
        <f aca="false">'BAU Adjustment'!D27</f>
        <v>1.07450258019859</v>
      </c>
      <c r="E3" s="39" t="n">
        <f aca="false">'BAU Adjustment'!E27</f>
        <v>0.991840961428289</v>
      </c>
      <c r="F3" s="39" t="n">
        <f aca="false">'BAU Adjustment'!F27</f>
        <v>0.901982240419803</v>
      </c>
      <c r="G3" s="39" t="n">
        <f aca="false">'BAU Adjustment'!G27</f>
        <v>0.805</v>
      </c>
      <c r="H3" s="39" t="n">
        <f aca="false">'BAU Adjustment'!H27</f>
        <v>0.826497233598787</v>
      </c>
      <c r="I3" s="39" t="n">
        <f aca="false">'BAU Adjustment'!I27</f>
        <v>0.8475913524636</v>
      </c>
      <c r="J3" s="39" t="n">
        <f aca="false">'BAU Adjustment'!J27</f>
        <v>0.868458523648528</v>
      </c>
      <c r="K3" s="39" t="n">
        <f aca="false">'BAU Adjustment'!K27</f>
        <v>0.889112490073162</v>
      </c>
      <c r="L3" s="39" t="n">
        <f aca="false">'BAU Adjustment'!L27</f>
        <v>0.909560251760079</v>
      </c>
      <c r="M3" s="39" t="n">
        <f aca="false">'BAU Adjustment'!M27</f>
        <v>0.929822974268394</v>
      </c>
      <c r="N3" s="39" t="n">
        <f aca="false">'BAU Adjustment'!N27</f>
        <v>0.949991854852707</v>
      </c>
      <c r="O3" s="39" t="n">
        <f aca="false">'BAU Adjustment'!O27</f>
        <v>0.970122959652944</v>
      </c>
      <c r="P3" s="39" t="n">
        <f aca="false">'BAU Adjustment'!P27</f>
        <v>0.990323795734034</v>
      </c>
      <c r="Q3" s="39" t="n">
        <f aca="false">'BAU Adjustment'!Q27</f>
        <v>1.01062981303325</v>
      </c>
      <c r="R3" s="39" t="n">
        <f aca="false">'BAU Adjustment'!R27</f>
        <v>1.03108732954683</v>
      </c>
      <c r="S3" s="39" t="n">
        <f aca="false">'BAU Adjustment'!S27</f>
        <v>1.05159669774293</v>
      </c>
      <c r="T3" s="39" t="n">
        <f aca="false">'BAU Adjustment'!T27</f>
        <v>1.07228502569348</v>
      </c>
      <c r="U3" s="39" t="n">
        <f aca="false">'BAU Adjustment'!U27</f>
        <v>1.09316947349766</v>
      </c>
      <c r="V3" s="39" t="n">
        <f aca="false">'BAU Adjustment'!V27</f>
        <v>1.11411322395186</v>
      </c>
      <c r="W3" s="39" t="n">
        <f aca="false">'BAU Adjustment'!W27</f>
        <v>1.13500427866169</v>
      </c>
      <c r="X3" s="39" t="n">
        <f aca="false">'BAU Adjustment'!X27</f>
        <v>1.15583969847593</v>
      </c>
      <c r="Y3" s="39" t="n">
        <f aca="false">'BAU Adjustment'!Y27</f>
        <v>1.17658191657753</v>
      </c>
      <c r="Z3" s="39" t="n">
        <f aca="false">'BAU Adjustment'!Z27</f>
        <v>1.19722891328977</v>
      </c>
      <c r="AA3" s="39" t="n">
        <f aca="false">'BAU Adjustment'!AA27</f>
        <v>1.21776033283694</v>
      </c>
      <c r="AB3" s="39" t="n">
        <f aca="false">'BAU Adjustment'!AB27</f>
        <v>1.2381318562975</v>
      </c>
      <c r="AC3" s="39" t="n">
        <f aca="false">'BAU Adjustment'!AC27</f>
        <v>1.25833741241832</v>
      </c>
      <c r="AD3" s="39" t="n">
        <f aca="false">'BAU Adjustment'!AD27</f>
        <v>1.2783748421544</v>
      </c>
      <c r="AE3" s="39" t="n">
        <f aca="false">'BAU Adjustment'!AE27</f>
        <v>1.2982271326606</v>
      </c>
      <c r="AF3" s="39" t="n">
        <f aca="false">'BAU Adjustment'!AF27</f>
        <v>1.31787520023932</v>
      </c>
      <c r="AG3" s="39" t="n">
        <f aca="false">'BAU Adjustment'!AG27</f>
        <v>1.34446411685357</v>
      </c>
    </row>
    <row r="4" customFormat="false" ht="15" hidden="false" customHeight="true" outlineLevel="0" collapsed="false">
      <c r="A4" s="1" t="s">
        <v>21</v>
      </c>
      <c r="B4" s="39" t="n">
        <f aca="false">'BAU Adjustment'!B28</f>
        <v>1</v>
      </c>
      <c r="C4" s="39" t="n">
        <f aca="false">'BAU Adjustment'!C28</f>
        <v>1.15</v>
      </c>
      <c r="D4" s="39" t="n">
        <f aca="false">'BAU Adjustment'!D28</f>
        <v>1.14059442259623</v>
      </c>
      <c r="E4" s="39" t="n">
        <f aca="false">'BAU Adjustment'!E28</f>
        <v>1.12667834267719</v>
      </c>
      <c r="F4" s="39" t="n">
        <f aca="false">'BAU Adjustment'!F28</f>
        <v>1.10778421410829</v>
      </c>
      <c r="G4" s="39" t="n">
        <f aca="false">'BAU Adjustment'!G28</f>
        <v>1.08340671359548</v>
      </c>
      <c r="H4" s="39" t="n">
        <f aca="false">'BAU Adjustment'!H28</f>
        <v>1.053</v>
      </c>
      <c r="I4" s="39" t="n">
        <f aca="false">'BAU Adjustment'!I28</f>
        <v>1.10737395992388</v>
      </c>
      <c r="J4" s="39" t="n">
        <f aca="false">'BAU Adjustment'!J28</f>
        <v>1.16455563828821</v>
      </c>
      <c r="K4" s="39" t="n">
        <f aca="false">'BAU Adjustment'!K28</f>
        <v>1.22469001778053</v>
      </c>
      <c r="L4" s="39" t="n">
        <f aca="false">'BAU Adjustment'!L28</f>
        <v>1.28792956758677</v>
      </c>
      <c r="M4" s="39" t="n">
        <f aca="false">'BAU Adjustment'!M28</f>
        <v>1.35443462997304</v>
      </c>
      <c r="N4" s="39" t="n">
        <f aca="false">'BAU Adjustment'!N28</f>
        <v>1.40287807464314</v>
      </c>
      <c r="O4" s="39" t="n">
        <f aca="false">'BAU Adjustment'!O28</f>
        <v>1.45305417386856</v>
      </c>
      <c r="P4" s="39" t="n">
        <f aca="false">'BAU Adjustment'!P28</f>
        <v>1.50502489871325</v>
      </c>
      <c r="Q4" s="39" t="n">
        <f aca="false">'BAU Adjustment'!Q28</f>
        <v>1.55885443673193</v>
      </c>
      <c r="R4" s="39" t="n">
        <f aca="false">'BAU Adjustment'!R28</f>
        <v>1.61460927124621</v>
      </c>
      <c r="S4" s="39" t="n">
        <f aca="false">'BAU Adjustment'!S28</f>
        <v>1.66741106090793</v>
      </c>
      <c r="T4" s="39" t="n">
        <f aca="false">'BAU Adjustment'!T28</f>
        <v>1.72193960207612</v>
      </c>
      <c r="U4" s="39" t="n">
        <f aca="false">'BAU Adjustment'!U28</f>
        <v>1.77825136387396</v>
      </c>
      <c r="V4" s="39" t="n">
        <f aca="false">'BAU Adjustment'!V28</f>
        <v>1.8364046621072</v>
      </c>
      <c r="W4" s="39" t="n">
        <f aca="false">'BAU Adjustment'!W28</f>
        <v>1.8964597196553</v>
      </c>
      <c r="X4" s="39" t="n">
        <f aca="false">'BAU Adjustment'!X28</f>
        <v>1.95298789654535</v>
      </c>
      <c r="Y4" s="39" t="n">
        <f aca="false">'BAU Adjustment'!Y28</f>
        <v>2.01120102078724</v>
      </c>
      <c r="Z4" s="39" t="n">
        <f aca="false">'BAU Adjustment'!Z28</f>
        <v>2.07114931596388</v>
      </c>
      <c r="AA4" s="39" t="n">
        <f aca="false">'BAU Adjustment'!AA28</f>
        <v>2.13288450268315</v>
      </c>
      <c r="AB4" s="39" t="n">
        <f aca="false">'BAU Adjustment'!AB28</f>
        <v>2.19645984320008</v>
      </c>
      <c r="AC4" s="39" t="n">
        <f aca="false">'BAU Adjustment'!AC28</f>
        <v>2.25604520805555</v>
      </c>
      <c r="AD4" s="39" t="n">
        <f aca="false">'BAU Adjustment'!AD28</f>
        <v>2.31724699932371</v>
      </c>
      <c r="AE4" s="39" t="n">
        <f aca="false">'BAU Adjustment'!AE28</f>
        <v>2.38010906727474</v>
      </c>
      <c r="AF4" s="39" t="n">
        <f aca="false">'BAU Adjustment'!AF28</f>
        <v>2.44467645174501</v>
      </c>
      <c r="AG4" s="39" t="n">
        <f aca="false">'BAU Adjustment'!AG28</f>
        <v>2.51099541440747</v>
      </c>
    </row>
    <row r="5" customFormat="false" ht="15" hidden="false" customHeight="true" outlineLevel="0" collapsed="false">
      <c r="A5" s="1" t="s">
        <v>174</v>
      </c>
      <c r="B5" s="39" t="n">
        <f aca="false">'BAU Adjustment'!B29</f>
        <v>1</v>
      </c>
      <c r="C5" s="39" t="n">
        <f aca="false">'BAU Adjustment'!C29</f>
        <v>1.15</v>
      </c>
      <c r="D5" s="39" t="n">
        <f aca="false">'BAU Adjustment'!D29</f>
        <v>1.08395534290271</v>
      </c>
      <c r="E5" s="39" t="n">
        <f aca="false">'BAU Adjustment'!E29</f>
        <v>1.00007177033493</v>
      </c>
      <c r="F5" s="39" t="n">
        <f aca="false">'BAU Adjustment'!F29</f>
        <v>0.898349282296651</v>
      </c>
      <c r="G5" s="39" t="n">
        <f aca="false">'BAU Adjustment'!G29</f>
        <v>0.778787878787879</v>
      </c>
      <c r="H5" s="39" t="n">
        <f aca="false">'BAU Adjustment'!H29</f>
        <v>0.819776714513557</v>
      </c>
      <c r="I5" s="39" t="n">
        <f aca="false">'BAU Adjustment'!I29</f>
        <v>0.860765550239235</v>
      </c>
      <c r="J5" s="39" t="n">
        <f aca="false">'BAU Adjustment'!J29</f>
        <v>0.901754385964912</v>
      </c>
      <c r="K5" s="39" t="n">
        <f aca="false">'BAU Adjustment'!K29</f>
        <v>0.94274322169059</v>
      </c>
      <c r="L5" s="39" t="n">
        <f aca="false">'BAU Adjustment'!L29</f>
        <v>0.983732057416268</v>
      </c>
      <c r="M5" s="39" t="n">
        <f aca="false">'BAU Adjustment'!M29</f>
        <v>1.02472089314195</v>
      </c>
      <c r="N5" s="39" t="n">
        <f aca="false">'BAU Adjustment'!N29</f>
        <v>1.07595693779904</v>
      </c>
      <c r="O5" s="39" t="n">
        <f aca="false">'BAU Adjustment'!O29</f>
        <v>1.12719298245614</v>
      </c>
      <c r="P5" s="39" t="n">
        <f aca="false">'BAU Adjustment'!P29</f>
        <v>1.17842902711324</v>
      </c>
      <c r="Q5" s="39" t="n">
        <f aca="false">'BAU Adjustment'!Q29</f>
        <v>1.22966507177033</v>
      </c>
      <c r="R5" s="39" t="n">
        <f aca="false">'BAU Adjustment'!R29</f>
        <v>1.28090111642743</v>
      </c>
      <c r="S5" s="39" t="n">
        <f aca="false">'BAU Adjustment'!S29</f>
        <v>1.33213716108453</v>
      </c>
      <c r="T5" s="39" t="n">
        <f aca="false">'BAU Adjustment'!T29</f>
        <v>1.38337320574163</v>
      </c>
      <c r="U5" s="39" t="n">
        <f aca="false">'BAU Adjustment'!U29</f>
        <v>1.43460925039872</v>
      </c>
      <c r="V5" s="39" t="n">
        <f aca="false">'BAU Adjustment'!V29</f>
        <v>1.48584529505582</v>
      </c>
      <c r="W5" s="39" t="n">
        <f aca="false">'BAU Adjustment'!W29</f>
        <v>1.53708133971292</v>
      </c>
      <c r="X5" s="39" t="n">
        <f aca="false">'BAU Adjustment'!X29</f>
        <v>1.56782296650718</v>
      </c>
      <c r="Y5" s="39" t="n">
        <f aca="false">'BAU Adjustment'!Y29</f>
        <v>1.59856459330144</v>
      </c>
      <c r="Z5" s="39" t="n">
        <f aca="false">'BAU Adjustment'!Z29</f>
        <v>1.62930622009569</v>
      </c>
      <c r="AA5" s="39" t="n">
        <f aca="false">'BAU Adjustment'!AA29</f>
        <v>1.66004784688995</v>
      </c>
      <c r="AB5" s="39" t="n">
        <f aca="false">'BAU Adjustment'!AB29</f>
        <v>1.69078947368421</v>
      </c>
      <c r="AC5" s="39" t="n">
        <f aca="false">'BAU Adjustment'!AC29</f>
        <v>1.72153110047847</v>
      </c>
      <c r="AD5" s="39" t="n">
        <f aca="false">'BAU Adjustment'!AD29</f>
        <v>1.75227272727273</v>
      </c>
      <c r="AE5" s="39" t="n">
        <f aca="false">'BAU Adjustment'!AE29</f>
        <v>1.78301435406699</v>
      </c>
      <c r="AF5" s="39" t="n">
        <f aca="false">'BAU Adjustment'!AF29</f>
        <v>1.81375598086124</v>
      </c>
      <c r="AG5" s="39" t="n">
        <f aca="false">'BAU Adjustment'!AG29</f>
        <v>1.8444976076555</v>
      </c>
    </row>
    <row r="6" customFormat="false" ht="15" hidden="false" customHeight="true" outlineLevel="0" collapsed="false">
      <c r="A6" s="1" t="s">
        <v>20</v>
      </c>
      <c r="B6" s="39" t="n">
        <f aca="false">'BAU Adjustment'!B30</f>
        <v>1</v>
      </c>
      <c r="C6" s="39" t="n">
        <f aca="false">'BAU Adjustment'!C30</f>
        <v>1.15</v>
      </c>
      <c r="D6" s="39" t="n">
        <f aca="false">'BAU Adjustment'!D30</f>
        <v>1.05986857422103</v>
      </c>
      <c r="E6" s="39" t="n">
        <f aca="false">'BAU Adjustment'!E30</f>
        <v>0.967956078759352</v>
      </c>
      <c r="F6" s="39" t="n">
        <f aca="false">'BAU Adjustment'!F30</f>
        <v>0.874262513614969</v>
      </c>
      <c r="G6" s="39" t="n">
        <f aca="false">'BAU Adjustment'!G30</f>
        <v>0.778787878787879</v>
      </c>
      <c r="H6" s="39" t="n">
        <f aca="false">'BAU Adjustment'!H30</f>
        <v>0.785515213106677</v>
      </c>
      <c r="I6" s="39" t="n">
        <f aca="false">'BAU Adjustment'!I30</f>
        <v>0.792242547425474</v>
      </c>
      <c r="J6" s="39" t="n">
        <f aca="false">'BAU Adjustment'!J30</f>
        <v>0.798969881744272</v>
      </c>
      <c r="K6" s="39" t="n">
        <f aca="false">'BAU Adjustment'!K30</f>
        <v>0.80569721606307</v>
      </c>
      <c r="L6" s="39" t="n">
        <f aca="false">'BAU Adjustment'!L30</f>
        <v>0.812424550381868</v>
      </c>
      <c r="M6" s="39" t="n">
        <f aca="false">'BAU Adjustment'!M30</f>
        <v>0.819151884700665</v>
      </c>
      <c r="N6" s="39" t="n">
        <f aca="false">'BAU Adjustment'!N30</f>
        <v>0.820986612242156</v>
      </c>
      <c r="O6" s="39" t="n">
        <f aca="false">'BAU Adjustment'!O30</f>
        <v>0.822821339783646</v>
      </c>
      <c r="P6" s="39" t="n">
        <f aca="false">'BAU Adjustment'!P30</f>
        <v>0.824656067325136</v>
      </c>
      <c r="Q6" s="39" t="n">
        <f aca="false">'BAU Adjustment'!Q30</f>
        <v>0.826490794866626</v>
      </c>
      <c r="R6" s="39" t="n">
        <f aca="false">'BAU Adjustment'!R30</f>
        <v>0.828325522408117</v>
      </c>
      <c r="S6" s="39" t="n">
        <f aca="false">'BAU Adjustment'!S30</f>
        <v>0.830160249949607</v>
      </c>
      <c r="T6" s="39" t="n">
        <f aca="false">'BAU Adjustment'!T30</f>
        <v>0.831994977491097</v>
      </c>
      <c r="U6" s="39" t="n">
        <f aca="false">'BAU Adjustment'!U30</f>
        <v>0.833829705032588</v>
      </c>
      <c r="V6" s="39" t="n">
        <f aca="false">'BAU Adjustment'!V30</f>
        <v>0.835664432574078</v>
      </c>
      <c r="W6" s="39" t="n">
        <f aca="false">'BAU Adjustment'!W30</f>
        <v>0.837499160115568</v>
      </c>
      <c r="X6" s="39" t="n">
        <f aca="false">'BAU Adjustment'!X30</f>
        <v>0.836851609218571</v>
      </c>
      <c r="Y6" s="39" t="n">
        <f aca="false">'BAU Adjustment'!Y30</f>
        <v>0.836204058321575</v>
      </c>
      <c r="Z6" s="39" t="n">
        <f aca="false">'BAU Adjustment'!Z30</f>
        <v>0.835556507424578</v>
      </c>
      <c r="AA6" s="39" t="n">
        <f aca="false">'BAU Adjustment'!AA30</f>
        <v>0.834908956527582</v>
      </c>
      <c r="AB6" s="39" t="n">
        <f aca="false">'BAU Adjustment'!AB30</f>
        <v>0.834261405630585</v>
      </c>
      <c r="AC6" s="39" t="n">
        <f aca="false">'BAU Adjustment'!AC30</f>
        <v>0.833613854733589</v>
      </c>
      <c r="AD6" s="39" t="n">
        <f aca="false">'BAU Adjustment'!AD30</f>
        <v>0.832966303836592</v>
      </c>
      <c r="AE6" s="39" t="n">
        <f aca="false">'BAU Adjustment'!AE30</f>
        <v>0.832318752939596</v>
      </c>
      <c r="AF6" s="39" t="n">
        <f aca="false">'BAU Adjustment'!AF30</f>
        <v>0.831671202042599</v>
      </c>
      <c r="AG6" s="39" t="n">
        <f aca="false">'BAU Adjustment'!AG30</f>
        <v>0.831023651145602</v>
      </c>
    </row>
    <row r="7" customFormat="false" ht="15" hidden="false" customHeight="true" outlineLevel="0" collapsed="false">
      <c r="A7" s="1" t="s">
        <v>177</v>
      </c>
      <c r="B7" s="39" t="n">
        <f aca="false">'BAU Adjustment'!B31</f>
        <v>1</v>
      </c>
      <c r="C7" s="39" t="n">
        <f aca="false">'BAU Adjustment'!C31</f>
        <v>1.15</v>
      </c>
      <c r="D7" s="39" t="n">
        <f aca="false">'BAU Adjustment'!D31</f>
        <v>1.1411942254562</v>
      </c>
      <c r="E7" s="39" t="n">
        <f aca="false">'BAU Adjustment'!E31</f>
        <v>1.13050599789116</v>
      </c>
      <c r="F7" s="39" t="n">
        <f aca="false">'BAU Adjustment'!F31</f>
        <v>1.11720945038758</v>
      </c>
      <c r="G7" s="39" t="n">
        <f aca="false">'BAU Adjustment'!G31</f>
        <v>1.10028586536941</v>
      </c>
      <c r="H7" s="39" t="n">
        <f aca="false">'BAU Adjustment'!H31</f>
        <v>1.15780024618367</v>
      </c>
      <c r="I7" s="39" t="n">
        <f aca="false">'BAU Adjustment'!I31</f>
        <v>1.21146551821218</v>
      </c>
      <c r="J7" s="39" t="n">
        <f aca="false">'BAU Adjustment'!J31</f>
        <v>1.26160726724486</v>
      </c>
      <c r="K7" s="39" t="n">
        <f aca="false">'BAU Adjustment'!K31</f>
        <v>1.30844978340923</v>
      </c>
      <c r="L7" s="39" t="n">
        <f aca="false">'BAU Adjustment'!L31</f>
        <v>1.35220227915482</v>
      </c>
      <c r="M7" s="39" t="n">
        <f aca="false">'BAU Adjustment'!M31</f>
        <v>1.39306016820549</v>
      </c>
      <c r="N7" s="39" t="n">
        <f aca="false">'BAU Adjustment'!N31</f>
        <v>1.43132186710356</v>
      </c>
      <c r="O7" s="39" t="n">
        <f aca="false">'BAU Adjustment'!O31</f>
        <v>1.46725312251716</v>
      </c>
      <c r="P7" s="39" t="n">
        <f aca="false">'BAU Adjustment'!P31</f>
        <v>1.50106989440664</v>
      </c>
      <c r="Q7" s="39" t="n">
        <f aca="false">'BAU Adjustment'!Q31</f>
        <v>1.53301783970277</v>
      </c>
      <c r="R7" s="39" t="n">
        <f aca="false">'BAU Adjustment'!R31</f>
        <v>1.56218133042805</v>
      </c>
      <c r="S7" s="39" t="n">
        <f aca="false">'BAU Adjustment'!S31</f>
        <v>1.58805218865976</v>
      </c>
      <c r="T7" s="39" t="n">
        <f aca="false">'BAU Adjustment'!T31</f>
        <v>1.61103842658803</v>
      </c>
      <c r="U7" s="39" t="n">
        <f aca="false">'BAU Adjustment'!U31</f>
        <v>1.63136269697963</v>
      </c>
      <c r="V7" s="39" t="n">
        <f aca="false">'BAU Adjustment'!V31</f>
        <v>1.64932803230057</v>
      </c>
      <c r="W7" s="39" t="n">
        <f aca="false">'BAU Adjustment'!W31</f>
        <v>1.66520369162188</v>
      </c>
      <c r="X7" s="39" t="n">
        <f aca="false">'BAU Adjustment'!X31</f>
        <v>1.67924301690622</v>
      </c>
      <c r="Y7" s="39" t="n">
        <f aca="false">'BAU Adjustment'!Y31</f>
        <v>1.69167809838099</v>
      </c>
      <c r="Z7" s="39" t="n">
        <f aca="false">'BAU Adjustment'!Z31</f>
        <v>1.70271342316316</v>
      </c>
      <c r="AA7" s="39" t="n">
        <f aca="false">'BAU Adjustment'!AA31</f>
        <v>1.71254043796083</v>
      </c>
      <c r="AB7" s="39" t="n">
        <f aca="false">'BAU Adjustment'!AB31</f>
        <v>1.72132610263889</v>
      </c>
      <c r="AC7" s="39" t="n">
        <f aca="false">'BAU Adjustment'!AC31</f>
        <v>1.72923093136906</v>
      </c>
      <c r="AD7" s="39" t="n">
        <f aca="false">'BAU Adjustment'!AD31</f>
        <v>1.73639843655754</v>
      </c>
      <c r="AE7" s="39" t="n">
        <f aca="false">'BAU Adjustment'!AE31</f>
        <v>1.74295075248912</v>
      </c>
      <c r="AF7" s="39" t="n">
        <f aca="false">'BAU Adjustment'!AF31</f>
        <v>1.74899428308994</v>
      </c>
      <c r="AG7" s="39" t="n">
        <f aca="false">'BAU Adjustment'!AG31</f>
        <v>1.75461906999681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97D"/>
    <pageSetUpPr fitToPage="false"/>
  </sheetPr>
  <dimension ref="A1:AG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4" activeCellId="0" sqref="C4"/>
    </sheetView>
  </sheetViews>
  <sheetFormatPr defaultColWidth="8.83203125" defaultRowHeight="15" zeroHeight="false" outlineLevelRow="0" outlineLevelCol="0"/>
  <cols>
    <col collapsed="false" customWidth="true" hidden="false" outlineLevel="0" max="1" min="1" style="1" width="16.5"/>
  </cols>
  <sheetData>
    <row r="1" customFormat="false" ht="79.5" hidden="false" customHeight="true" outlineLevel="0" collapsed="false">
      <c r="A1" s="38" t="s">
        <v>203</v>
      </c>
      <c r="B1" s="1" t="n">
        <v>2019</v>
      </c>
      <c r="C1" s="1" t="n">
        <v>2020</v>
      </c>
      <c r="D1" s="1" t="n">
        <v>2021</v>
      </c>
      <c r="E1" s="1" t="n">
        <v>2022</v>
      </c>
      <c r="F1" s="1" t="n">
        <v>2023</v>
      </c>
      <c r="G1" s="1" t="n">
        <v>2024</v>
      </c>
      <c r="H1" s="1" t="n">
        <v>2025</v>
      </c>
      <c r="I1" s="1" t="n">
        <v>2026</v>
      </c>
      <c r="J1" s="1" t="n">
        <v>2027</v>
      </c>
      <c r="K1" s="1" t="n">
        <v>2028</v>
      </c>
      <c r="L1" s="1" t="n">
        <v>2029</v>
      </c>
      <c r="M1" s="1" t="n">
        <v>2030</v>
      </c>
      <c r="N1" s="1" t="n">
        <v>2031</v>
      </c>
      <c r="O1" s="1" t="n">
        <v>2032</v>
      </c>
      <c r="P1" s="1" t="n">
        <v>2033</v>
      </c>
      <c r="Q1" s="1" t="n">
        <v>2034</v>
      </c>
      <c r="R1" s="1" t="n">
        <v>2035</v>
      </c>
      <c r="S1" s="1" t="n">
        <v>2036</v>
      </c>
      <c r="T1" s="1" t="n">
        <v>2037</v>
      </c>
      <c r="U1" s="1" t="n">
        <v>2038</v>
      </c>
      <c r="V1" s="1" t="n">
        <v>2039</v>
      </c>
      <c r="W1" s="1" t="n">
        <v>2040</v>
      </c>
      <c r="X1" s="1" t="n">
        <v>2041</v>
      </c>
      <c r="Y1" s="1" t="n">
        <v>2042</v>
      </c>
      <c r="Z1" s="1" t="n">
        <v>2043</v>
      </c>
      <c r="AA1" s="1" t="n">
        <v>2044</v>
      </c>
      <c r="AB1" s="1" t="n">
        <v>2045</v>
      </c>
      <c r="AC1" s="1" t="n">
        <v>2046</v>
      </c>
      <c r="AD1" s="1" t="n">
        <v>2047</v>
      </c>
      <c r="AE1" s="1" t="n">
        <v>2048</v>
      </c>
      <c r="AF1" s="1" t="n">
        <v>2049</v>
      </c>
      <c r="AG1" s="1" t="n">
        <v>2050</v>
      </c>
    </row>
    <row r="2" customFormat="false" ht="15" hidden="false" customHeight="true" outlineLevel="0" collapsed="false">
      <c r="A2" s="1" t="s">
        <v>168</v>
      </c>
      <c r="B2" s="39" t="n">
        <f aca="false">'BAU Adjustment'!B53</f>
        <v>1</v>
      </c>
      <c r="C2" s="39" t="n">
        <f aca="false">'BAU Adjustment'!C53</f>
        <v>1.15</v>
      </c>
      <c r="D2" s="39" t="n">
        <f aca="false">'BAU Adjustment'!D53</f>
        <v>1.16743679213815</v>
      </c>
      <c r="E2" s="39" t="n">
        <f aca="false">'BAU Adjustment'!E53</f>
        <v>1.17036069741787</v>
      </c>
      <c r="F2" s="39" t="n">
        <f aca="false">'BAU Adjustment'!F53</f>
        <v>1.17241701718777</v>
      </c>
      <c r="G2" s="39" t="n">
        <f aca="false">'BAU Adjustment'!G53</f>
        <v>1.17368627109796</v>
      </c>
      <c r="H2" s="39" t="n">
        <f aca="false">'BAU Adjustment'!H53</f>
        <v>1.18541755476638</v>
      </c>
      <c r="I2" s="39" t="n">
        <f aca="false">'BAU Adjustment'!I53</f>
        <v>1.19830947173536</v>
      </c>
      <c r="J2" s="39" t="n">
        <f aca="false">'BAU Adjustment'!J53</f>
        <v>1.21399479049698</v>
      </c>
      <c r="K2" s="39" t="n">
        <f aca="false">'BAU Adjustment'!K53</f>
        <v>1.23269018362381</v>
      </c>
      <c r="L2" s="39" t="n">
        <f aca="false">'BAU Adjustment'!L53</f>
        <v>1.25464030455351</v>
      </c>
      <c r="M2" s="39" t="n">
        <f aca="false">'BAU Adjustment'!M53</f>
        <v>1.28012300481942</v>
      </c>
      <c r="N2" s="39" t="n">
        <f aca="false">'BAU Adjustment'!N53</f>
        <v>1.30941628078519</v>
      </c>
      <c r="O2" s="39" t="n">
        <f aca="false">'BAU Adjustment'!O53</f>
        <v>1.34123490504435</v>
      </c>
      <c r="P2" s="39" t="n">
        <f aca="false">'BAU Adjustment'!P53</f>
        <v>1.37353276201605</v>
      </c>
      <c r="Q2" s="39" t="n">
        <f aca="false">'BAU Adjustment'!Q53</f>
        <v>1.40569317389821</v>
      </c>
      <c r="R2" s="39" t="n">
        <f aca="false">'BAU Adjustment'!R53</f>
        <v>1.43770527354484</v>
      </c>
      <c r="S2" s="39" t="n">
        <f aca="false">'BAU Adjustment'!S53</f>
        <v>1.46910525362301</v>
      </c>
      <c r="T2" s="39" t="n">
        <f aca="false">'BAU Adjustment'!T53</f>
        <v>1.49991051510164</v>
      </c>
      <c r="U2" s="39" t="n">
        <f aca="false">'BAU Adjustment'!U53</f>
        <v>1.53053457474129</v>
      </c>
      <c r="V2" s="39" t="n">
        <f aca="false">'BAU Adjustment'!V53</f>
        <v>1.56090323637216</v>
      </c>
      <c r="W2" s="39" t="n">
        <f aca="false">'BAU Adjustment'!W53</f>
        <v>1.59096393908268</v>
      </c>
      <c r="X2" s="39" t="n">
        <f aca="false">'BAU Adjustment'!X53</f>
        <v>1.62339297689827</v>
      </c>
      <c r="Y2" s="39" t="n">
        <f aca="false">'BAU Adjustment'!Y53</f>
        <v>1.66086877508595</v>
      </c>
      <c r="Z2" s="39" t="n">
        <f aca="false">'BAU Adjustment'!Z53</f>
        <v>1.70182389801811</v>
      </c>
      <c r="AA2" s="39" t="n">
        <f aca="false">'BAU Adjustment'!AA53</f>
        <v>1.74337409012089</v>
      </c>
      <c r="AB2" s="39" t="n">
        <f aca="false">'BAU Adjustment'!AB53</f>
        <v>1.78427160442612</v>
      </c>
      <c r="AC2" s="39" t="n">
        <f aca="false">'BAU Adjustment'!AC53</f>
        <v>1.81347752206232</v>
      </c>
      <c r="AD2" s="39" t="n">
        <f aca="false">'BAU Adjustment'!AD53</f>
        <v>1.83157631918556</v>
      </c>
      <c r="AE2" s="39" t="n">
        <f aca="false">'BAU Adjustment'!AE53</f>
        <v>1.84937010267679</v>
      </c>
      <c r="AF2" s="39" t="n">
        <f aca="false">'BAU Adjustment'!AF53</f>
        <v>1.86692050972595</v>
      </c>
      <c r="AG2" s="39" t="n">
        <f aca="false">'BAU Adjustment'!AG53</f>
        <v>1.88428900484829</v>
      </c>
    </row>
    <row r="3" customFormat="false" ht="15" hidden="false" customHeight="true" outlineLevel="0" collapsed="false">
      <c r="A3" s="1" t="s">
        <v>171</v>
      </c>
      <c r="B3" s="39" t="n">
        <f aca="false">'BAU Adjustment'!B54</f>
        <v>1</v>
      </c>
      <c r="C3" s="39" t="n">
        <f aca="false">'BAU Adjustment'!C54</f>
        <v>1.15</v>
      </c>
      <c r="D3" s="39" t="n">
        <f aca="false">'BAU Adjustment'!D54</f>
        <v>1.15966031489213</v>
      </c>
      <c r="E3" s="39" t="n">
        <f aca="false">'BAU Adjustment'!E54</f>
        <v>1.16370449437611</v>
      </c>
      <c r="F3" s="39" t="n">
        <f aca="false">'BAU Adjustment'!F54</f>
        <v>1.16874061363693</v>
      </c>
      <c r="G3" s="39" t="n">
        <f aca="false">'BAU Adjustment'!G54</f>
        <v>1.17368627109796</v>
      </c>
      <c r="H3" s="39" t="n">
        <f aca="false">'BAU Adjustment'!H54</f>
        <v>1.18134100159307</v>
      </c>
      <c r="I3" s="39" t="n">
        <f aca="false">'BAU Adjustment'!I54</f>
        <v>1.18975521364039</v>
      </c>
      <c r="J3" s="39" t="n">
        <f aca="false">'BAU Adjustment'!J54</f>
        <v>1.20115620207374</v>
      </c>
      <c r="K3" s="39" t="n">
        <f aca="false">'BAU Adjustment'!K54</f>
        <v>1.21571784666977</v>
      </c>
      <c r="L3" s="39" t="n">
        <f aca="false">'BAU Adjustment'!L54</f>
        <v>1.23301883991421</v>
      </c>
      <c r="M3" s="39" t="n">
        <f aca="false">'BAU Adjustment'!M54</f>
        <v>1.24890891483842</v>
      </c>
      <c r="N3" s="39" t="n">
        <f aca="false">'BAU Adjustment'!N54</f>
        <v>1.27270088219</v>
      </c>
      <c r="O3" s="39" t="n">
        <f aca="false">'BAU Adjustment'!O54</f>
        <v>1.29830486350217</v>
      </c>
      <c r="P3" s="39" t="n">
        <f aca="false">'BAU Adjustment'!P54</f>
        <v>1.32426409332757</v>
      </c>
      <c r="Q3" s="39" t="n">
        <f aca="false">'BAU Adjustment'!Q54</f>
        <v>1.3499344875743</v>
      </c>
      <c r="R3" s="39" t="n">
        <f aca="false">'BAU Adjustment'!R54</f>
        <v>1.36999119949799</v>
      </c>
      <c r="S3" s="39" t="n">
        <f aca="false">'BAU Adjustment'!S54</f>
        <v>1.39449542691793</v>
      </c>
      <c r="T3" s="39" t="n">
        <f aca="false">'BAU Adjustment'!T54</f>
        <v>1.41857001594157</v>
      </c>
      <c r="U3" s="39" t="n">
        <f aca="false">'BAU Adjustment'!U54</f>
        <v>1.44250787842019</v>
      </c>
      <c r="V3" s="39" t="n">
        <f aca="false">'BAU Adjustment'!V54</f>
        <v>1.4662948116996</v>
      </c>
      <c r="W3" s="39" t="n">
        <f aca="false">'BAU Adjustment'!W54</f>
        <v>1.48419847251128</v>
      </c>
      <c r="X3" s="39" t="n">
        <f aca="false">'BAU Adjustment'!X54</f>
        <v>1.5119877296129</v>
      </c>
      <c r="Y3" s="39" t="n">
        <f aca="false">'BAU Adjustment'!Y54</f>
        <v>1.54396301866576</v>
      </c>
      <c r="Z3" s="39" t="n">
        <f aca="false">'BAU Adjustment'!Z54</f>
        <v>1.57895114168159</v>
      </c>
      <c r="AA3" s="39" t="n">
        <f aca="false">'BAU Adjustment'!AA54</f>
        <v>1.61446321773046</v>
      </c>
      <c r="AB3" s="39" t="n">
        <f aca="false">'BAU Adjustment'!AB54</f>
        <v>1.63667652733718</v>
      </c>
      <c r="AC3" s="39" t="n">
        <f aca="false">'BAU Adjustment'!AC54</f>
        <v>1.66264792229756</v>
      </c>
      <c r="AD3" s="39" t="n">
        <f aca="false">'BAU Adjustment'!AD54</f>
        <v>1.68034820487689</v>
      </c>
      <c r="AE3" s="39" t="n">
        <f aca="false">'BAU Adjustment'!AE54</f>
        <v>1.69795734887403</v>
      </c>
      <c r="AF3" s="39" t="n">
        <f aca="false">'BAU Adjustment'!AF54</f>
        <v>1.71601574709825</v>
      </c>
      <c r="AG3" s="39" t="n">
        <f aca="false">'BAU Adjustment'!AG54</f>
        <v>1.72056638429138</v>
      </c>
    </row>
    <row r="4" customFormat="false" ht="15" hidden="false" customHeight="true" outlineLevel="0" collapsed="false">
      <c r="A4" s="1" t="s">
        <v>21</v>
      </c>
      <c r="B4" s="39" t="n">
        <f aca="false">'BAU Adjustment'!B55</f>
        <v>1</v>
      </c>
      <c r="C4" s="39" t="n">
        <f aca="false">'BAU Adjustment'!C55</f>
        <v>1.15</v>
      </c>
      <c r="D4" s="39" t="n">
        <f aca="false">'BAU Adjustment'!D55</f>
        <v>1.13191238764194</v>
      </c>
      <c r="E4" s="39" t="n">
        <f aca="false">'BAU Adjustment'!E55</f>
        <v>1.1139611830171</v>
      </c>
      <c r="F4" s="39" t="n">
        <f aca="false">'BAU Adjustment'!F55</f>
        <v>1.09614638612547</v>
      </c>
      <c r="G4" s="39" t="n">
        <f aca="false">'BAU Adjustment'!G55</f>
        <v>1.07846799696706</v>
      </c>
      <c r="H4" s="39" t="n">
        <f aca="false">'BAU Adjustment'!H55</f>
        <v>1.06766942266929</v>
      </c>
      <c r="I4" s="39" t="n">
        <f aca="false">'BAU Adjustment'!I55</f>
        <v>1.05687084837152</v>
      </c>
      <c r="J4" s="39" t="n">
        <f aca="false">'BAU Adjustment'!J55</f>
        <v>1.04607227407374</v>
      </c>
      <c r="K4" s="39" t="n">
        <f aca="false">'BAU Adjustment'!K55</f>
        <v>1.03527369977597</v>
      </c>
      <c r="L4" s="39" t="n">
        <f aca="false">'BAU Adjustment'!L55</f>
        <v>1.02447512547819</v>
      </c>
      <c r="M4" s="39" t="n">
        <f aca="false">'BAU Adjustment'!M55</f>
        <v>1.01367655118042</v>
      </c>
      <c r="N4" s="39" t="n">
        <f aca="false">'BAU Adjustment'!N55</f>
        <v>1.02898468810819</v>
      </c>
      <c r="O4" s="39" t="n">
        <f aca="false">'BAU Adjustment'!O55</f>
        <v>1.04429282503596</v>
      </c>
      <c r="P4" s="39" t="n">
        <f aca="false">'BAU Adjustment'!P55</f>
        <v>1.05960096196373</v>
      </c>
      <c r="Q4" s="39" t="n">
        <f aca="false">'BAU Adjustment'!Q55</f>
        <v>1.0749090988915</v>
      </c>
      <c r="R4" s="39" t="n">
        <f aca="false">'BAU Adjustment'!R55</f>
        <v>1.09021723581927</v>
      </c>
      <c r="S4" s="39" t="n">
        <f aca="false">'BAU Adjustment'!S55</f>
        <v>1.10552537274704</v>
      </c>
      <c r="T4" s="39" t="n">
        <f aca="false">'BAU Adjustment'!T55</f>
        <v>1.12083350967481</v>
      </c>
      <c r="U4" s="39" t="n">
        <f aca="false">'BAU Adjustment'!U55</f>
        <v>1.13614164660258</v>
      </c>
      <c r="V4" s="39" t="n">
        <f aca="false">'BAU Adjustment'!V55</f>
        <v>1.15144978353035</v>
      </c>
      <c r="W4" s="39" t="n">
        <f aca="false">'BAU Adjustment'!W55</f>
        <v>1.16675792045812</v>
      </c>
      <c r="X4" s="39" t="n">
        <f aca="false">'BAU Adjustment'!X55</f>
        <v>1.19616758160996</v>
      </c>
      <c r="Y4" s="39" t="n">
        <f aca="false">'BAU Adjustment'!Y55</f>
        <v>1.22557724276179</v>
      </c>
      <c r="Z4" s="39" t="n">
        <f aca="false">'BAU Adjustment'!Z55</f>
        <v>1.25498690391363</v>
      </c>
      <c r="AA4" s="39" t="n">
        <f aca="false">'BAU Adjustment'!AA55</f>
        <v>1.28439656506547</v>
      </c>
      <c r="AB4" s="39" t="n">
        <f aca="false">'BAU Adjustment'!AB55</f>
        <v>1.31380622621731</v>
      </c>
      <c r="AC4" s="39" t="n">
        <f aca="false">'BAU Adjustment'!AC55</f>
        <v>1.34321588736914</v>
      </c>
      <c r="AD4" s="39" t="n">
        <f aca="false">'BAU Adjustment'!AD55</f>
        <v>1.37262554852098</v>
      </c>
      <c r="AE4" s="39" t="n">
        <f aca="false">'BAU Adjustment'!AE55</f>
        <v>1.40203520967282</v>
      </c>
      <c r="AF4" s="39" t="n">
        <f aca="false">'BAU Adjustment'!AF55</f>
        <v>1.43144487082466</v>
      </c>
      <c r="AG4" s="39" t="n">
        <f aca="false">'BAU Adjustment'!AG55</f>
        <v>1.4608545319765</v>
      </c>
    </row>
    <row r="5" customFormat="false" ht="15" hidden="false" customHeight="true" outlineLevel="0" collapsed="false">
      <c r="A5" s="1" t="s">
        <v>174</v>
      </c>
      <c r="B5" s="39" t="n">
        <f aca="false">'BAU Adjustment'!B56</f>
        <v>1</v>
      </c>
      <c r="C5" s="39" t="n">
        <f aca="false">'BAU Adjustment'!C56</f>
        <v>1.15</v>
      </c>
      <c r="D5" s="39" t="n">
        <f aca="false">'BAU Adjustment'!D56</f>
        <v>1.08678658980019</v>
      </c>
      <c r="E5" s="39" t="n">
        <f aca="false">'BAU Adjustment'!E56</f>
        <v>1.01393442622951</v>
      </c>
      <c r="F5" s="39" t="n">
        <f aca="false">'BAU Adjustment'!F56</f>
        <v>1.05506583046551</v>
      </c>
      <c r="G5" s="39" t="n">
        <f aca="false">'BAU Adjustment'!G56</f>
        <v>1.09619723470151</v>
      </c>
      <c r="H5" s="39" t="n">
        <f aca="false">'BAU Adjustment'!H56</f>
        <v>1.13732863893751</v>
      </c>
      <c r="I5" s="39" t="n">
        <f aca="false">'BAU Adjustment'!I56</f>
        <v>1.17846004317351</v>
      </c>
      <c r="J5" s="39" t="n">
        <f aca="false">'BAU Adjustment'!J56</f>
        <v>1.21959144740951</v>
      </c>
      <c r="K5" s="39" t="n">
        <f aca="false">'BAU Adjustment'!K56</f>
        <v>1.2607228516455</v>
      </c>
      <c r="L5" s="39" t="n">
        <f aca="false">'BAU Adjustment'!L56</f>
        <v>1.3018542558815</v>
      </c>
      <c r="M5" s="39" t="n">
        <f aca="false">'BAU Adjustment'!M56</f>
        <v>1.3429856601175</v>
      </c>
      <c r="N5" s="39" t="n">
        <f aca="false">'BAU Adjustment'!N56</f>
        <v>1.41212915842111</v>
      </c>
      <c r="O5" s="39" t="n">
        <f aca="false">'BAU Adjustment'!O56</f>
        <v>1.48127265672472</v>
      </c>
      <c r="P5" s="39" t="n">
        <f aca="false">'BAU Adjustment'!P56</f>
        <v>1.55041615502832</v>
      </c>
      <c r="Q5" s="39" t="n">
        <f aca="false">'BAU Adjustment'!Q56</f>
        <v>1.61955965333193</v>
      </c>
      <c r="R5" s="39" t="n">
        <f aca="false">'BAU Adjustment'!R56</f>
        <v>1.68870315163554</v>
      </c>
      <c r="S5" s="39" t="n">
        <f aca="false">'BAU Adjustment'!S56</f>
        <v>1.75784664993914</v>
      </c>
      <c r="T5" s="39" t="n">
        <f aca="false">'BAU Adjustment'!T56</f>
        <v>1.82699014824275</v>
      </c>
      <c r="U5" s="39" t="n">
        <f aca="false">'BAU Adjustment'!U56</f>
        <v>1.89613364654635</v>
      </c>
      <c r="V5" s="39" t="n">
        <f aca="false">'BAU Adjustment'!V56</f>
        <v>1.96527714484996</v>
      </c>
      <c r="W5" s="39" t="n">
        <f aca="false">'BAU Adjustment'!W56</f>
        <v>2.03442064315357</v>
      </c>
      <c r="X5" s="39" t="n">
        <f aca="false">'BAU Adjustment'!X56</f>
        <v>2.13778328585129</v>
      </c>
      <c r="Y5" s="39" t="n">
        <f aca="false">'BAU Adjustment'!Y56</f>
        <v>2.24114592854902</v>
      </c>
      <c r="Z5" s="39" t="n">
        <f aca="false">'BAU Adjustment'!Z56</f>
        <v>2.34450857124675</v>
      </c>
      <c r="AA5" s="39" t="n">
        <f aca="false">'BAU Adjustment'!AA56</f>
        <v>2.44787121394447</v>
      </c>
      <c r="AB5" s="39" t="n">
        <f aca="false">'BAU Adjustment'!AB56</f>
        <v>2.5512338566422</v>
      </c>
      <c r="AC5" s="39" t="n">
        <f aca="false">'BAU Adjustment'!AC56</f>
        <v>2.65459649933992</v>
      </c>
      <c r="AD5" s="39" t="n">
        <f aca="false">'BAU Adjustment'!AD56</f>
        <v>2.75795914203765</v>
      </c>
      <c r="AE5" s="39" t="n">
        <f aca="false">'BAU Adjustment'!AE56</f>
        <v>2.86132178473538</v>
      </c>
      <c r="AF5" s="39" t="n">
        <f aca="false">'BAU Adjustment'!AF56</f>
        <v>2.9646844274331</v>
      </c>
      <c r="AG5" s="39" t="n">
        <f aca="false">'BAU Adjustment'!AG56</f>
        <v>3.06804707013083</v>
      </c>
    </row>
    <row r="6" customFormat="false" ht="15" hidden="false" customHeight="true" outlineLevel="0" collapsed="false">
      <c r="A6" s="1" t="s">
        <v>20</v>
      </c>
      <c r="B6" s="39" t="n">
        <f aca="false">'BAU Adjustment'!B57</f>
        <v>1</v>
      </c>
      <c r="C6" s="39" t="n">
        <f aca="false">'BAU Adjustment'!C57</f>
        <v>1.15</v>
      </c>
      <c r="D6" s="39" t="n">
        <f aca="false">'BAU Adjustment'!D57</f>
        <v>1.16538425805728</v>
      </c>
      <c r="E6" s="39" t="n">
        <f aca="false">'BAU Adjustment'!E57</f>
        <v>1.17801162006827</v>
      </c>
      <c r="F6" s="39" t="n">
        <f aca="false">'BAU Adjustment'!F57</f>
        <v>1.18788208603296</v>
      </c>
      <c r="G6" s="39" t="n">
        <f aca="false">'BAU Adjustment'!G57</f>
        <v>1.19499565595135</v>
      </c>
      <c r="H6" s="39" t="n">
        <f aca="false">'BAU Adjustment'!H57</f>
        <v>1.23855058969945</v>
      </c>
      <c r="I6" s="39" t="n">
        <f aca="false">'BAU Adjustment'!I57</f>
        <v>1.28210552344756</v>
      </c>
      <c r="J6" s="39" t="n">
        <f aca="false">'BAU Adjustment'!J57</f>
        <v>1.32566045719566</v>
      </c>
      <c r="K6" s="39" t="n">
        <f aca="false">'BAU Adjustment'!K57</f>
        <v>1.36921539094376</v>
      </c>
      <c r="L6" s="39" t="n">
        <f aca="false">'BAU Adjustment'!L57</f>
        <v>1.41277032469187</v>
      </c>
      <c r="M6" s="39" t="n">
        <f aca="false">'BAU Adjustment'!M57</f>
        <v>1.45632525843997</v>
      </c>
      <c r="N6" s="39" t="n">
        <f aca="false">'BAU Adjustment'!N57</f>
        <v>1.4875770849136</v>
      </c>
      <c r="O6" s="39" t="n">
        <f aca="false">'BAU Adjustment'!O57</f>
        <v>1.51882891138722</v>
      </c>
      <c r="P6" s="39" t="n">
        <f aca="false">'BAU Adjustment'!P57</f>
        <v>1.55008073786085</v>
      </c>
      <c r="Q6" s="39" t="n">
        <f aca="false">'BAU Adjustment'!Q57</f>
        <v>1.58133256433447</v>
      </c>
      <c r="R6" s="39" t="n">
        <f aca="false">'BAU Adjustment'!R57</f>
        <v>1.6125843908081</v>
      </c>
      <c r="S6" s="39" t="n">
        <f aca="false">'BAU Adjustment'!S57</f>
        <v>1.64383621728172</v>
      </c>
      <c r="T6" s="39" t="n">
        <f aca="false">'BAU Adjustment'!T57</f>
        <v>1.67508804375534</v>
      </c>
      <c r="U6" s="39" t="n">
        <f aca="false">'BAU Adjustment'!U57</f>
        <v>1.70633987022897</v>
      </c>
      <c r="V6" s="39" t="n">
        <f aca="false">'BAU Adjustment'!V57</f>
        <v>1.73759169670259</v>
      </c>
      <c r="W6" s="39" t="n">
        <f aca="false">'BAU Adjustment'!W57</f>
        <v>1.76884352317622</v>
      </c>
      <c r="X6" s="39" t="n">
        <f aca="false">'BAU Adjustment'!X57</f>
        <v>1.78223478132446</v>
      </c>
      <c r="Y6" s="39" t="n">
        <f aca="false">'BAU Adjustment'!Y57</f>
        <v>1.79562603947271</v>
      </c>
      <c r="Z6" s="39" t="n">
        <f aca="false">'BAU Adjustment'!Z57</f>
        <v>1.80901729762096</v>
      </c>
      <c r="AA6" s="39" t="n">
        <f aca="false">'BAU Adjustment'!AA57</f>
        <v>1.8224085557692</v>
      </c>
      <c r="AB6" s="39" t="n">
        <f aca="false">'BAU Adjustment'!AB57</f>
        <v>1.83579981391745</v>
      </c>
      <c r="AC6" s="39" t="n">
        <f aca="false">'BAU Adjustment'!AC57</f>
        <v>1.84919107206569</v>
      </c>
      <c r="AD6" s="39" t="n">
        <f aca="false">'BAU Adjustment'!AD57</f>
        <v>1.86258233021394</v>
      </c>
      <c r="AE6" s="39" t="n">
        <f aca="false">'BAU Adjustment'!AE57</f>
        <v>1.87597358836219</v>
      </c>
      <c r="AF6" s="39" t="n">
        <f aca="false">'BAU Adjustment'!AF57</f>
        <v>1.88936484651043</v>
      </c>
      <c r="AG6" s="39" t="n">
        <f aca="false">'BAU Adjustment'!AG57</f>
        <v>1.90275610465868</v>
      </c>
    </row>
    <row r="7" customFormat="false" ht="15" hidden="false" customHeight="true" outlineLevel="0" collapsed="false">
      <c r="A7" s="1" t="s">
        <v>177</v>
      </c>
      <c r="B7" s="39" t="n">
        <f aca="false">'BAU Adjustment'!B58</f>
        <v>0</v>
      </c>
      <c r="C7" s="39" t="n">
        <f aca="false">'BAU Adjustment'!C58</f>
        <v>0</v>
      </c>
      <c r="D7" s="39" t="n">
        <f aca="false">'BAU Adjustment'!D58</f>
        <v>0</v>
      </c>
      <c r="E7" s="39" t="n">
        <f aca="false">'BAU Adjustment'!E58</f>
        <v>0</v>
      </c>
      <c r="F7" s="39" t="n">
        <f aca="false">'BAU Adjustment'!F58</f>
        <v>0</v>
      </c>
      <c r="G7" s="39" t="n">
        <f aca="false">'BAU Adjustment'!G58</f>
        <v>0</v>
      </c>
      <c r="H7" s="39" t="n">
        <f aca="false">'BAU Adjustment'!H58</f>
        <v>0</v>
      </c>
      <c r="I7" s="39" t="n">
        <f aca="false">'BAU Adjustment'!I58</f>
        <v>0</v>
      </c>
      <c r="J7" s="39" t="n">
        <f aca="false">'BAU Adjustment'!J58</f>
        <v>0</v>
      </c>
      <c r="K7" s="39" t="n">
        <f aca="false">'BAU Adjustment'!K58</f>
        <v>0</v>
      </c>
      <c r="L7" s="39" t="n">
        <f aca="false">'BAU Adjustment'!L58</f>
        <v>0</v>
      </c>
      <c r="M7" s="39" t="n">
        <f aca="false">'BAU Adjustment'!M58</f>
        <v>0</v>
      </c>
      <c r="N7" s="39" t="n">
        <f aca="false">'BAU Adjustment'!N58</f>
        <v>0</v>
      </c>
      <c r="O7" s="39" t="n">
        <f aca="false">'BAU Adjustment'!O58</f>
        <v>0</v>
      </c>
      <c r="P7" s="39" t="n">
        <f aca="false">'BAU Adjustment'!P58</f>
        <v>0</v>
      </c>
      <c r="Q7" s="39" t="n">
        <f aca="false">'BAU Adjustment'!Q58</f>
        <v>0</v>
      </c>
      <c r="R7" s="39" t="n">
        <f aca="false">'BAU Adjustment'!R58</f>
        <v>0</v>
      </c>
      <c r="S7" s="39" t="n">
        <f aca="false">'BAU Adjustment'!S58</f>
        <v>0</v>
      </c>
      <c r="T7" s="39" t="n">
        <f aca="false">'BAU Adjustment'!T58</f>
        <v>0</v>
      </c>
      <c r="U7" s="39" t="n">
        <f aca="false">'BAU Adjustment'!U58</f>
        <v>0</v>
      </c>
      <c r="V7" s="39" t="n">
        <f aca="false">'BAU Adjustment'!V58</f>
        <v>0</v>
      </c>
      <c r="W7" s="39" t="n">
        <f aca="false">'BAU Adjustment'!W58</f>
        <v>0</v>
      </c>
      <c r="X7" s="39" t="n">
        <f aca="false">'BAU Adjustment'!X58</f>
        <v>0</v>
      </c>
      <c r="Y7" s="39" t="n">
        <f aca="false">'BAU Adjustment'!Y58</f>
        <v>0</v>
      </c>
      <c r="Z7" s="39" t="n">
        <f aca="false">'BAU Adjustment'!Z58</f>
        <v>0</v>
      </c>
      <c r="AA7" s="39" t="n">
        <f aca="false">'BAU Adjustment'!AA58</f>
        <v>0</v>
      </c>
      <c r="AB7" s="39" t="n">
        <f aca="false">'BAU Adjustment'!AB58</f>
        <v>0</v>
      </c>
      <c r="AC7" s="39" t="n">
        <f aca="false">'BAU Adjustment'!AC58</f>
        <v>0</v>
      </c>
      <c r="AD7" s="39" t="n">
        <f aca="false">'BAU Adjustment'!AD58</f>
        <v>0</v>
      </c>
      <c r="AE7" s="39" t="n">
        <f aca="false">'BAU Adjustment'!AE58</f>
        <v>0</v>
      </c>
      <c r="AF7" s="39" t="n">
        <f aca="false">'BAU Adjustment'!AF58</f>
        <v>0</v>
      </c>
      <c r="AG7" s="39" t="n">
        <f aca="false">'BAU Adjustment'!AG58</f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2017-06-26T22:04:22Z</dcterms:created>
  <dc:creator>Jeffrey Rissman</dc:creator>
  <dc:description/>
  <dc:language>en-US</dc:language>
  <cp:lastModifiedBy>Sy, Saidou Abdoulaye</cp:lastModifiedBy>
  <dcterms:modified xsi:type="dcterms:W3CDTF">2026-09-25T00:47:31Z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