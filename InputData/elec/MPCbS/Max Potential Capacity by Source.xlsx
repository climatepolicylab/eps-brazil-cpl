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ido\Documents\eps-brazil-cpl\InputData\elec\MPCbS\"/>
    </mc:Choice>
  </mc:AlternateContent>
  <bookViews>
    <workbookView xWindow="0" yWindow="765" windowWidth="34200" windowHeight="21375" activeTab="1"/>
  </bookViews>
  <sheets>
    <sheet name="About" sheetId="1" r:id="rId1"/>
    <sheet name="Data" sheetId="2" r:id="rId2"/>
    <sheet name="MPCbS" sheetId="3" r:id="rId3"/>
  </sheets>
  <calcPr calcId="152511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3" l="1"/>
  <c r="B12" i="3"/>
  <c r="B8" i="3"/>
  <c r="B6" i="3"/>
  <c r="B7" i="3"/>
  <c r="B5" i="3"/>
  <c r="B17" i="3" l="1"/>
  <c r="B10" i="3"/>
  <c r="B9" i="3"/>
  <c r="B11" i="3" l="1"/>
  <c r="B4" i="3"/>
  <c r="B3" i="3"/>
  <c r="B2" i="3"/>
  <c r="B13" i="3" s="1"/>
  <c r="B16" i="3" l="1"/>
  <c r="B15" i="3"/>
</calcChain>
</file>

<file path=xl/sharedStrings.xml><?xml version="1.0" encoding="utf-8"?>
<sst xmlns="http://schemas.openxmlformats.org/spreadsheetml/2006/main" count="60" uniqueCount="43">
  <si>
    <t>Source:</t>
  </si>
  <si>
    <t>Potential Capacity (MW)</t>
  </si>
  <si>
    <t>hydro</t>
  </si>
  <si>
    <t>biomass</t>
  </si>
  <si>
    <t>solar PV</t>
  </si>
  <si>
    <t>solar thermal</t>
  </si>
  <si>
    <t>MPCbS Max Potential Capacity by Source</t>
  </si>
  <si>
    <t>nuclear</t>
  </si>
  <si>
    <t>Electricity Source</t>
  </si>
  <si>
    <t>Max Potential Capacity (MW)</t>
  </si>
  <si>
    <t>natural gas nonpeaker</t>
  </si>
  <si>
    <t>geothermal</t>
  </si>
  <si>
    <t>petroleum</t>
  </si>
  <si>
    <t>natural gas peaker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</si>
  <si>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</si>
  <si>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</si>
  <si>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</si>
  <si>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</si>
  <si>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</si>
  <si>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</si>
  <si>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</si>
  <si>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Notes:</t>
  </si>
  <si>
    <t>These maximums reflect the available resource potential for hydro, wind, solar, and biomass power.</t>
  </si>
  <si>
    <t>Maximums for coal, natural gas, and nuclear are not imposed, as these power types are unlikely to</t>
  </si>
  <si>
    <t>be geographically resource-constrained. (An arbitrarily high number is chosen here, to ensure</t>
  </si>
  <si>
    <t>this limit doesn't come into play for these three electricity sources.)</t>
  </si>
  <si>
    <t>https://www.epe.gov.br/sites-pt/publicacoes-dados-abertos/publicacoes/PublicacoesArquivos/publicacao-227/topico-416/NT04%20PR_RecursosEnergeticos%202050.pdf</t>
  </si>
  <si>
    <t>https://app.powerbi.com/view?r=eyJrIjoiNjc4OGYyYjQtYWM2ZC00YjllLWJlYmEtYzdkNTQ1MTc1NjM2IiwidCI6IjQwZDZmOWI4LWVjYTctNDZhMi05MmQ0LWVhNGU5YzAxNzBlMSIsImMiOjR9</t>
  </si>
  <si>
    <t>Installed capacity</t>
  </si>
  <si>
    <t>Potential capacity</t>
  </si>
  <si>
    <t>National Energy Plan 2050</t>
  </si>
  <si>
    <t>EPE - Empresa de Pesquisa Energética</t>
  </si>
  <si>
    <t>PNE report</t>
  </si>
  <si>
    <t>Offshore wind</t>
  </si>
  <si>
    <t>Lignite</t>
  </si>
  <si>
    <t>Solar thermal</t>
  </si>
  <si>
    <t>Solar PV</t>
  </si>
  <si>
    <t>Onshore wind</t>
  </si>
  <si>
    <t>Hydro</t>
  </si>
  <si>
    <t>Nuclear</t>
  </si>
  <si>
    <t>Basis</t>
  </si>
  <si>
    <t>Potential capacity (MW)</t>
  </si>
  <si>
    <t>Power plant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</si>
</sst>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00336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horizontal="right"/>
    </xf>
    <xf numFmtId="11" fontId="0" fillId="0" borderId="0" xfId="0" applyNumberFormat="1"/>
    <xf numFmtId="11" fontId="0" fillId="3" borderId="0" xfId="0" applyNumberFormat="1" applyFill="1"/>
    <xf numFmtId="0" fontId="3" fillId="0" borderId="1" xfId="0" applyFont="1" applyBorder="1"/>
    <xf numFmtId="0" fontId="4" fillId="4" borderId="1" xfId="0" applyFont="1" applyFill="1" applyBorder="1"/>
    <xf numFmtId="0" fontId="4" fillId="4" borderId="1" xfId="0" applyFont="1" applyFill="1" applyBorder="1" applyAlignment="1">
      <alignment horizontal="left"/>
    </xf>
    <xf numFmtId="11" fontId="3" fillId="0" borderId="1" xfId="0" applyNumberFormat="1" applyFont="1" applyBorder="1" applyAlignment="1">
      <alignment horizontal="left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epe.gov.br/sites-pt/publicacoes-dados-abertos/publicacoes/PublicacoesArquivos/publicacao-227/topico-416/NT04%20PR_RecursosEnergeticos%202050.pdf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>
      <selection activeCell="B6" sqref="B6"/>
    </sheetView>
  </sheetViews>
  <sheetFormatPr baseColWidth="10" defaultColWidth="8.85546875" defaultRowHeight="15" x14ac:dyDescent="0.25"/>
  <cols>
    <col min="2" max="2" width="60.85546875" customWidth="1"/>
  </cols>
  <sheetData>
    <row r="1" spans="1:2" x14ac:dyDescent="0.25">
      <c r="A1" s="1" t="s">
        <v>6</v>
      </c>
    </row>
    <row r="3" spans="1:2" x14ac:dyDescent="0.25">
      <c r="A3" s="1" t="s">
        <v>0</v>
      </c>
      <c r="B3" s="2" t="s">
        <v>30</v>
      </c>
    </row>
    <row r="4" spans="1:2" x14ac:dyDescent="0.25">
      <c r="B4" t="s">
        <v>31</v>
      </c>
    </row>
    <row r="5" spans="1:2" x14ac:dyDescent="0.25">
      <c r="B5" s="3">
        <v>2018</v>
      </c>
    </row>
    <row r="6" spans="1:2" x14ac:dyDescent="0.25">
      <c r="B6" s="4" t="s">
        <v>26</v>
      </c>
    </row>
    <row r="8" spans="1:2" x14ac:dyDescent="0.25">
      <c r="A8" s="1" t="s">
        <v>21</v>
      </c>
    </row>
    <row r="9" spans="1:2" x14ac:dyDescent="0.25">
      <c r="A9" t="s">
        <v>22</v>
      </c>
    </row>
    <row r="10" spans="1:2" x14ac:dyDescent="0.25">
      <c r="A10" t="s">
        <v>23</v>
      </c>
    </row>
    <row r="11" spans="1:2" x14ac:dyDescent="0.25">
      <c r="A11" t="s">
        <v>24</v>
      </c>
    </row>
    <row r="12" spans="1:2" x14ac:dyDescent="0.25">
      <c r="A12" t="s">
        <v>25</v>
      </c>
    </row>
  </sheetData>
  <hyperlinks>
    <hyperlink ref="B6" r:id="rId1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22"/>
  <sheetViews>
    <sheetView tabSelected="1" workbookViewId="0">
      <selection activeCell="C7" sqref="C7"/>
    </sheetView>
  </sheetViews>
  <sheetFormatPr baseColWidth="10" defaultColWidth="8.85546875" defaultRowHeight="15" x14ac:dyDescent="0.25"/>
  <cols>
    <col min="1" max="1" width="35.7109375" customWidth="1"/>
    <col min="2" max="3" width="24.7109375" customWidth="1"/>
    <col min="5" max="5" width="71" customWidth="1"/>
    <col min="6" max="6" width="16.28515625" customWidth="1"/>
    <col min="7" max="7" width="17" customWidth="1"/>
  </cols>
  <sheetData>
    <row r="2" spans="1:4" x14ac:dyDescent="0.25">
      <c r="A2" s="2" t="s">
        <v>8</v>
      </c>
      <c r="B2" s="2" t="s">
        <v>1</v>
      </c>
      <c r="C2" s="2" t="s">
        <v>1</v>
      </c>
      <c r="D2" s="2"/>
    </row>
    <row r="3" spans="1:4" x14ac:dyDescent="0.25">
      <c r="A3" t="s">
        <v>2</v>
      </c>
      <c r="B3" s="6">
        <v>1760000</v>
      </c>
      <c r="C3" s="6">
        <v>1760000</v>
      </c>
    </row>
    <row r="4" spans="1:4" x14ac:dyDescent="0.25">
      <c r="A4" t="s">
        <v>16</v>
      </c>
      <c r="B4" s="6">
        <v>1790000</v>
      </c>
      <c r="C4" s="6">
        <v>1790000</v>
      </c>
      <c r="D4" s="4"/>
    </row>
    <row r="5" spans="1:4" x14ac:dyDescent="0.25">
      <c r="A5" t="s">
        <v>17</v>
      </c>
      <c r="B5" s="6">
        <v>5140000</v>
      </c>
      <c r="C5" s="6">
        <v>5140000</v>
      </c>
    </row>
    <row r="6" spans="1:4" x14ac:dyDescent="0.25">
      <c r="A6" t="s">
        <v>4</v>
      </c>
      <c r="B6" s="6">
        <v>3400000</v>
      </c>
      <c r="C6" s="6">
        <v>3400000</v>
      </c>
    </row>
    <row r="7" spans="1:4" x14ac:dyDescent="0.25">
      <c r="A7" t="s">
        <v>5</v>
      </c>
      <c r="B7" s="6">
        <v>1400000</v>
      </c>
      <c r="C7" s="6">
        <v>1400000</v>
      </c>
    </row>
    <row r="8" spans="1:4" x14ac:dyDescent="0.25">
      <c r="A8" t="s">
        <v>3</v>
      </c>
      <c r="B8" s="6">
        <v>2000000</v>
      </c>
      <c r="C8" s="6">
        <v>2000000</v>
      </c>
    </row>
    <row r="9" spans="1:4" x14ac:dyDescent="0.25">
      <c r="A9" t="s">
        <v>11</v>
      </c>
      <c r="B9" s="6">
        <v>0</v>
      </c>
      <c r="C9" s="6">
        <v>0</v>
      </c>
    </row>
    <row r="10" spans="1:4" x14ac:dyDescent="0.25">
      <c r="A10" t="s">
        <v>20</v>
      </c>
      <c r="B10" s="6">
        <v>0</v>
      </c>
      <c r="C10" s="6">
        <v>0</v>
      </c>
    </row>
    <row r="12" spans="1:4" x14ac:dyDescent="0.25">
      <c r="A12" s="5" t="s">
        <v>28</v>
      </c>
      <c r="B12" t="s">
        <v>27</v>
      </c>
    </row>
    <row r="13" spans="1:4" x14ac:dyDescent="0.25">
      <c r="A13" s="5" t="s">
        <v>29</v>
      </c>
      <c r="B13" t="s">
        <v>26</v>
      </c>
    </row>
    <row r="15" spans="1:4" x14ac:dyDescent="0.25">
      <c r="A15" s="9" t="s">
        <v>42</v>
      </c>
      <c r="B15" s="10" t="s">
        <v>41</v>
      </c>
      <c r="C15" s="9" t="s">
        <v>40</v>
      </c>
    </row>
    <row r="16" spans="1:4" x14ac:dyDescent="0.25">
      <c r="A16" s="8" t="s">
        <v>39</v>
      </c>
      <c r="B16" s="11">
        <v>12395</v>
      </c>
      <c r="C16" s="8" t="s">
        <v>32</v>
      </c>
    </row>
    <row r="17" spans="1:3" x14ac:dyDescent="0.25">
      <c r="A17" s="8" t="s">
        <v>38</v>
      </c>
      <c r="B17" s="11">
        <v>176000</v>
      </c>
      <c r="C17" s="8" t="s">
        <v>32</v>
      </c>
    </row>
    <row r="18" spans="1:3" x14ac:dyDescent="0.25">
      <c r="A18" s="8" t="s">
        <v>37</v>
      </c>
      <c r="B18" s="11">
        <v>440500</v>
      </c>
      <c r="C18" s="8" t="s">
        <v>32</v>
      </c>
    </row>
    <row r="19" spans="1:3" x14ac:dyDescent="0.25">
      <c r="A19" s="8" t="s">
        <v>36</v>
      </c>
      <c r="B19" s="11">
        <v>307000</v>
      </c>
      <c r="C19" s="8" t="s">
        <v>32</v>
      </c>
    </row>
    <row r="20" spans="1:3" x14ac:dyDescent="0.25">
      <c r="A20" s="8" t="s">
        <v>35</v>
      </c>
      <c r="B20" s="11">
        <v>203306</v>
      </c>
      <c r="C20" s="8" t="s">
        <v>32</v>
      </c>
    </row>
    <row r="21" spans="1:3" x14ac:dyDescent="0.25">
      <c r="A21" s="8" t="s">
        <v>34</v>
      </c>
      <c r="B21" s="11">
        <v>27397</v>
      </c>
      <c r="C21" s="8" t="s">
        <v>32</v>
      </c>
    </row>
    <row r="22" spans="1:3" x14ac:dyDescent="0.25">
      <c r="A22" s="8" t="s">
        <v>33</v>
      </c>
      <c r="B22" s="11">
        <v>57000</v>
      </c>
      <c r="C22" s="8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A1:B17"/>
  <sheetViews>
    <sheetView workbookViewId="0">
      <selection activeCell="D15" sqref="D15"/>
    </sheetView>
  </sheetViews>
  <sheetFormatPr baseColWidth="10" defaultColWidth="8.85546875" defaultRowHeight="15" x14ac:dyDescent="0.25"/>
  <cols>
    <col min="1" max="1" width="22" customWidth="1"/>
    <col min="2" max="2" width="27.28515625" customWidth="1"/>
  </cols>
  <sheetData>
    <row r="1" spans="1:2" x14ac:dyDescent="0.25">
      <c r="A1" s="1" t="s">
        <v>8</v>
      </c>
      <c r="B1" s="1" t="s">
        <v>9</v>
      </c>
    </row>
    <row r="2" spans="1:2" x14ac:dyDescent="0.25">
      <c r="A2" t="s">
        <v>15</v>
      </c>
      <c r="B2" s="6">
        <f>9*10^12</f>
        <v>9000000000000</v>
      </c>
    </row>
    <row r="3" spans="1:2" x14ac:dyDescent="0.25">
      <c r="A3" t="s">
        <v>10</v>
      </c>
      <c r="B3" s="6">
        <f>9*10^12</f>
        <v>9000000000000</v>
      </c>
    </row>
    <row r="4" spans="1:2" x14ac:dyDescent="0.25">
      <c r="A4" t="s">
        <v>7</v>
      </c>
      <c r="B4" s="6">
        <f>9*10^12</f>
        <v>9000000000000</v>
      </c>
    </row>
    <row r="5" spans="1:2" x14ac:dyDescent="0.25">
      <c r="A5" t="s">
        <v>2</v>
      </c>
      <c r="B5" s="7">
        <f>Data!B17</f>
        <v>176000</v>
      </c>
    </row>
    <row r="6" spans="1:2" x14ac:dyDescent="0.25">
      <c r="A6" t="s">
        <v>16</v>
      </c>
      <c r="B6" s="7">
        <f>Data!B18</f>
        <v>440500</v>
      </c>
    </row>
    <row r="7" spans="1:2" x14ac:dyDescent="0.25">
      <c r="A7" t="s">
        <v>4</v>
      </c>
      <c r="B7" s="7">
        <f>Data!B19</f>
        <v>307000</v>
      </c>
    </row>
    <row r="8" spans="1:2" x14ac:dyDescent="0.25">
      <c r="A8" t="s">
        <v>5</v>
      </c>
      <c r="B8" s="7">
        <f>Data!B20</f>
        <v>203306</v>
      </c>
    </row>
    <row r="9" spans="1:2" x14ac:dyDescent="0.25">
      <c r="A9" t="s">
        <v>3</v>
      </c>
      <c r="B9" s="7">
        <f>Data!C8</f>
        <v>2000000</v>
      </c>
    </row>
    <row r="10" spans="1:2" x14ac:dyDescent="0.25">
      <c r="A10" t="s">
        <v>11</v>
      </c>
      <c r="B10" s="7">
        <f>Data!C9</f>
        <v>0</v>
      </c>
    </row>
    <row r="11" spans="1:2" x14ac:dyDescent="0.25">
      <c r="A11" t="s">
        <v>12</v>
      </c>
      <c r="B11" s="6">
        <f>9*10^12</f>
        <v>9000000000000</v>
      </c>
    </row>
    <row r="12" spans="1:2" x14ac:dyDescent="0.25">
      <c r="A12" t="s">
        <v>13</v>
      </c>
      <c r="B12" s="6">
        <f>9*10^12</f>
        <v>9000000000000</v>
      </c>
    </row>
    <row r="13" spans="1:2" x14ac:dyDescent="0.25">
      <c r="A13" t="s">
        <v>14</v>
      </c>
      <c r="B13" s="6">
        <f>B2</f>
        <v>9000000000000</v>
      </c>
    </row>
    <row r="14" spans="1:2" x14ac:dyDescent="0.25">
      <c r="A14" t="s">
        <v>17</v>
      </c>
      <c r="B14" s="7">
        <f>Data!B22</f>
        <v>57000</v>
      </c>
    </row>
    <row r="15" spans="1:2" x14ac:dyDescent="0.25">
      <c r="A15" t="s">
        <v>18</v>
      </c>
      <c r="B15" s="6">
        <f>B11</f>
        <v>9000000000000</v>
      </c>
    </row>
    <row r="16" spans="1:2" x14ac:dyDescent="0.25">
      <c r="A16" t="s">
        <v>19</v>
      </c>
      <c r="B16" s="6">
        <f>B11</f>
        <v>9000000000000</v>
      </c>
    </row>
    <row r="17" spans="1:2" x14ac:dyDescent="0.25">
      <c r="A17" t="s">
        <v>20</v>
      </c>
      <c r="B17" s="7">
        <f>Data!C10</f>
        <v>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About</vt:lpstr>
      <vt:lpstr>Data</vt:lpstr>
      <vt:lpstr>MPCbS</vt:lpstr>
    </vt:vector>
  </TitlesOfParts>
  <Company>EnergyInnovation.org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Saidou Sy</cp:lastModifiedBy>
  <dcterms:created xsi:type="dcterms:W3CDTF">2015-01-16T02:18:43Z</dcterms:created>
  <dcterms:modified xsi:type="dcterms:W3CDTF">2026-10-19T14:59:38Z</dcterms:modified>
</cp:coreProperties>
</file>